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tables/table3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pivotTables/pivotTable10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gneshwaran MBR\Downloads\"/>
    </mc:Choice>
  </mc:AlternateContent>
  <xr:revisionPtr revIDLastSave="0" documentId="8_{4CCF74A2-36A8-4676-BBF0-B381B5C5EB92}" xr6:coauthVersionLast="47" xr6:coauthVersionMax="47" xr10:uidLastSave="{00000000-0000-0000-0000-000000000000}"/>
  <bookViews>
    <workbookView xWindow="0" yWindow="24" windowWidth="23016" windowHeight="12216" firstSheet="1" activeTab="10" xr2:uid="{D43D773B-044C-4F9D-84AF-5E23F2C67BC3}"/>
  </bookViews>
  <sheets>
    <sheet name="Data_set 2 - Copy" sheetId="1" r:id="rId1"/>
    <sheet name="Task2" sheetId="7" r:id="rId2"/>
    <sheet name="Task3" sheetId="2" r:id="rId3"/>
    <sheet name="Task4" sheetId="8" r:id="rId4"/>
    <sheet name="Task5(1)" sheetId="13" r:id="rId5"/>
    <sheet name="Task5(2)" sheetId="18" r:id="rId6"/>
    <sheet name="Task6" sheetId="21" r:id="rId7"/>
    <sheet name="Task7" sheetId="22" r:id="rId8"/>
    <sheet name="Task8" sheetId="25" r:id="rId9"/>
    <sheet name="Task9" sheetId="26" r:id="rId10"/>
    <sheet name="Task10" sheetId="28" r:id="rId11"/>
  </sheet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</pivotCaches>
  <extLst>
    <ext xmlns:x15="http://schemas.microsoft.com/office/spreadsheetml/2010/11/main" uri="{FCE2AD5D-F65C-4FA6-A056-5C36A1767C68}">
      <x15:dataModel>
        <x15:modelTables>
          <x15:modelTable id="Table1_707cc9ec-6ac4-4d54-922d-fee2ba4b4f86" name="Table1" connection="Query - 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8" l="1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2" i="8"/>
  <c r="A42" i="25"/>
  <c r="F6" i="25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2" i="25"/>
  <c r="B42" i="25"/>
  <c r="F4" i="25"/>
  <c r="F8" i="2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A49252-D9E1-4F1C-BE66-BA900259A008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9ca5e2c7-62d6-46c5-9fcc-c473ece781e0"/>
      </ext>
    </extLst>
  </connection>
  <connection id="2" xr16:uid="{0E6F78F8-55BB-48DE-A74F-AEE4D748C6E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<sst xmlns="http://schemas.openxmlformats.org/spreadsheetml/2006/main" count="1223" uniqueCount="129">
  <si>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</si>
  <si>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</si>
  <si>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</si>
  <si>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</si>
  <si>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</si>
  <si>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</si>
  <si>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</si>
  <si>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</si>
  <si>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</si>
  <si>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</si>
  <si>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</si>
  <si>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</si>
  <si>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</si>
  <si>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</si>
  <si>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</si>
  <si>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</si>
  <si>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</si>
  <si>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</si>
  <si>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</si>
  <si>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</si>
  <si>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</si>
  <si>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</si>
  <si>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</si>
  <si>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</si>
  <si>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</si>
  <si>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</si>
  <si>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</si>
  <si>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</si>
  <si>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</si>
  <si>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</si>
  <si>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</si>
  <si>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</si>
  <si>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</si>
  <si>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</si>
  <si>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</si>
  <si>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</si>
  <si>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</si>
  <si>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</si>
  <si>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</si>
  <si>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</si>
  <si>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</si>
  <si>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</si>
  <si>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</si>
  <si>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</si>
  <si>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</si>
  <si>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</si>
  <si>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</si>
  <si>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</si>
  <si>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</si>
  <si>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</si>
  <si>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</si>
  <si>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</si>
  <si>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</si>
  <si>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</si>
  <si>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</si>
  <si>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</si>
  <si>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</si>
  <si>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</si>
  <si>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</si>
  <si>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</si>
  <si>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</si>
  <si>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</si>
  <si>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</si>
  <si>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</si>
  <si>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</si>
  <si>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</si>
  <si>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</si>
  <si>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</si>
  <si>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</si>
  <si>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</si>
  <si>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</si>
  <si>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</si>
  <si>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</si>
  <si>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</si>
  <si>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</si>
  <si>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</si>
  <si>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</si>
  <si>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</si>
  <si>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</si>
  <si>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</si>
  <si>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</si>
  <si>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</si>
  <si>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Count of gender</t>
  </si>
  <si>
    <t>Grand Total</t>
  </si>
  <si>
    <t>Sum of Mutual_Funds</t>
  </si>
  <si>
    <t>Sum of Equity_Market</t>
  </si>
  <si>
    <t>Sum of Debentures</t>
  </si>
  <si>
    <t>Sum of Government_Bonds</t>
  </si>
  <si>
    <t>Sum of Fixed_Deposits</t>
  </si>
  <si>
    <t>Sum of PPF</t>
  </si>
  <si>
    <t>Sum of Gold</t>
  </si>
  <si>
    <t>Sum of Count</t>
  </si>
  <si>
    <t>Count of Stock_Marktet</t>
  </si>
  <si>
    <t>Count of Reason_FD</t>
  </si>
  <si>
    <t>Count of Reason_Bonds</t>
  </si>
  <si>
    <t>Count of Reason_Mutual</t>
  </si>
  <si>
    <t>Count of Reason_Equity</t>
  </si>
  <si>
    <t>Column Labels</t>
  </si>
  <si>
    <t>Theme</t>
  </si>
  <si>
    <t>Investment type</t>
  </si>
  <si>
    <t>Reasons</t>
  </si>
  <si>
    <t>Mutual fund</t>
  </si>
  <si>
    <t>Bond</t>
  </si>
  <si>
    <t>FD</t>
  </si>
  <si>
    <t>Tax benefit</t>
  </si>
  <si>
    <t>Safety</t>
  </si>
  <si>
    <t>count</t>
  </si>
  <si>
    <t>Sum of count</t>
  </si>
  <si>
    <t>Count of What are your savings objectives?</t>
  </si>
  <si>
    <t>Count of Source</t>
  </si>
  <si>
    <t xml:space="preserve">DURATION AVERAGE </t>
  </si>
  <si>
    <t>INVESTMENT MONITOR AVERAGE</t>
  </si>
  <si>
    <t>Investment Monitor</t>
  </si>
  <si>
    <t>Investment Duration</t>
  </si>
  <si>
    <t>INVESTMENT DURATION</t>
  </si>
  <si>
    <t>Count of Expect</t>
  </si>
  <si>
    <t>Expectation</t>
  </si>
  <si>
    <t>Percentage range</t>
  </si>
  <si>
    <t>moderate return expectation</t>
  </si>
  <si>
    <t>low return expectation</t>
  </si>
  <si>
    <t>high return expectatiom</t>
  </si>
  <si>
    <t>summary sentence</t>
  </si>
  <si>
    <t>Few participants  expect low returns</t>
  </si>
  <si>
    <t>Majority participants expects moderate returns</t>
  </si>
  <si>
    <t>Some participants expects hign returns</t>
  </si>
  <si>
    <t>Expectation returns</t>
  </si>
  <si>
    <t>Expectation Returns</t>
  </si>
  <si>
    <t>stock market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</si>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</sst>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33" borderId="12" xfId="0" applyFont="1" applyFill="1" applyBorder="1"/>
    <xf numFmtId="0" fontId="0" fillId="0" borderId="12" xfId="0" applyFont="1" applyBorder="1"/>
    <xf numFmtId="0" fontId="13" fillId="33" borderId="13" xfId="0" applyFont="1" applyFill="1" applyBorder="1"/>
    <xf numFmtId="0" fontId="0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Most Preferred Highest Investment Avenue is = Gold 239" pivot="0" table="0" count="0" xr9:uid="{E3741A35-CC15-42D7-8E1D-3F3DF3BECAF4}"/>
  </tableStyles>
  <extLst>
    <ext xmlns:x14="http://schemas.microsoft.com/office/spreadsheetml/2009/9/main" uri="{EB79DEF2-80B8-43e5-95BD-54CBDDF9020C}">
      <x14:slicerStyles defaultSlicerStyle="SlicerStyleLight1">
        <x14:slicerStyle name="Most Preferred Highest Investment Avenue is = Gold 239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Task2!$B$3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F4-4B36-A91F-3F8FCA46708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F4-4B36-A91F-3F8FCA4670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Task2!$B$4:$B$6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7-4D43-BDFD-5CAEF06C4E52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[Internship.xlsx]Task4!PivotTable10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Investment Avenue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7777777777776E-2"/>
          <c:y val="0.25592632418745015"/>
          <c:w val="0.66597222222222219"/>
          <c:h val="0.59421733741615634"/>
        </c:manualLayout>
      </c:layout>
      <c:pie3DChart>
        <c:varyColors val="1"/>
        <c:ser>
          <c:idx val="0"/>
          <c:order val="0"/>
          <c:tx>
            <c:strRef>
              <c:f>Task4!$B$3</c:f>
              <c:strCache>
                <c:ptCount val="1"/>
                <c:pt idx="0">
                  <c:v>Count of Stock_Marktet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Task4!$B$4:$B$6</c:f>
              <c:numCache>
                <c:formatCode>General</c:formatCode>
                <c:ptCount val="2"/>
                <c:pt idx="0">
                  <c:v>3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7F4-46EF-8BF5-5996CA18C50C}"/>
            </c:ext>
          </c:extLst>
        </c:ser>
        <c:ser>
          <c:idx val="1"/>
          <c:order val="1"/>
          <c:tx>
            <c:strRef>
              <c:f>Task4!$C$3</c:f>
              <c:strCache>
                <c:ptCount val="1"/>
                <c:pt idx="0">
                  <c:v>Sum of Mutual_Funds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Task4!$C$4:$C$6</c:f>
              <c:numCache>
                <c:formatCode>General</c:formatCode>
                <c:ptCount val="2"/>
                <c:pt idx="0">
                  <c:v>10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7F4-46EF-8BF5-5996CA18C50C}"/>
            </c:ext>
          </c:extLst>
        </c:ser>
        <c:ser>
          <c:idx val="2"/>
          <c:order val="2"/>
          <c:tx>
            <c:strRef>
              <c:f>Task4!$D$3</c:f>
              <c:strCache>
                <c:ptCount val="1"/>
                <c:pt idx="0">
                  <c:v>Sum of Equity_Market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Task4!$D$4:$D$6</c:f>
              <c:numCache>
                <c:formatCode>General</c:formatCode>
                <c:ptCount val="2"/>
                <c:pt idx="0">
                  <c:v>8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F4-46EF-8BF5-5996CA18C50C}"/>
            </c:ext>
          </c:extLst>
        </c:ser>
        <c:ser>
          <c:idx val="3"/>
          <c:order val="3"/>
          <c:tx>
            <c:strRef>
              <c:f>Task4!$E$3</c:f>
              <c:strCache>
                <c:ptCount val="1"/>
                <c:pt idx="0">
                  <c:v>Sum of Debentures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Task4!$E$4:$E$6</c:f>
              <c:numCache>
                <c:formatCode>General</c:formatCode>
                <c:ptCount val="2"/>
                <c:pt idx="0">
                  <c:v>10</c:v>
                </c:pt>
                <c:pt idx="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7F4-46EF-8BF5-5996CA18C50C}"/>
            </c:ext>
          </c:extLst>
        </c:ser>
        <c:ser>
          <c:idx val="4"/>
          <c:order val="4"/>
          <c:tx>
            <c:strRef>
              <c:f>Task4!$F$3</c:f>
              <c:strCache>
                <c:ptCount val="1"/>
                <c:pt idx="0">
                  <c:v>Sum of Government_Bonds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Task4!$F$4:$F$6</c:f>
              <c:numCache>
                <c:formatCode>General</c:formatCode>
                <c:ptCount val="2"/>
                <c:pt idx="0">
                  <c:v>16</c:v>
                </c:pt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7F4-46EF-8BF5-5996CA18C50C}"/>
            </c:ext>
          </c:extLst>
        </c:ser>
        <c:ser>
          <c:idx val="5"/>
          <c:order val="5"/>
          <c:tx>
            <c:strRef>
              <c:f>Task4!$G$3</c:f>
              <c:strCache>
                <c:ptCount val="1"/>
                <c:pt idx="0">
                  <c:v>Sum of Fixed_Deposits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Task4!$G$4:$G$6</c:f>
              <c:numCache>
                <c:formatCode>General</c:formatCode>
                <c:ptCount val="2"/>
                <c:pt idx="0">
                  <c:v>12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7F4-46EF-8BF5-5996CA18C50C}"/>
            </c:ext>
          </c:extLst>
        </c:ser>
        <c:ser>
          <c:idx val="6"/>
          <c:order val="6"/>
          <c:tx>
            <c:strRef>
              <c:f>Task4!$H$3</c:f>
              <c:strCache>
                <c:ptCount val="1"/>
                <c:pt idx="0">
                  <c:v>Sum of PPF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Task4!$H$4:$H$6</c:f>
              <c:numCache>
                <c:formatCode>General</c:formatCode>
                <c:ptCount val="2"/>
                <c:pt idx="0">
                  <c:v>12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7F4-46EF-8BF5-5996CA18C50C}"/>
            </c:ext>
          </c:extLst>
        </c:ser>
        <c:ser>
          <c:idx val="7"/>
          <c:order val="7"/>
          <c:tx>
            <c:strRef>
              <c:f>Task4!$I$3</c:f>
              <c:strCache>
                <c:ptCount val="1"/>
                <c:pt idx="0">
                  <c:v>Sum of Gold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Task4!$I$4:$I$6</c:f>
              <c:numCache>
                <c:formatCode>General</c:formatCode>
                <c:ptCount val="2"/>
                <c:pt idx="0">
                  <c:v>16</c:v>
                </c:pt>
                <c:pt idx="1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7F4-46EF-8BF5-5996CA18C50C}"/>
            </c:ext>
          </c:extLst>
        </c:ser>
        <c:ser>
          <c:idx val="8"/>
          <c:order val="8"/>
          <c:tx>
            <c:strRef>
              <c:f>Task4!$J$3</c:f>
              <c:strCache>
                <c:ptCount val="1"/>
                <c:pt idx="0">
                  <c:v>Sum of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6BB4-429A-AF72-29EE5BCD31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6BB4-429A-AF72-29EE5BCD319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Task4!$A$4:$A$6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Task4!$J$4:$J$6</c:f>
              <c:numCache>
                <c:formatCode>General</c:formatCode>
                <c:ptCount val="2"/>
                <c:pt idx="0">
                  <c:v>69</c:v>
                </c:pt>
                <c:pt idx="1">
                  <c:v>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7F4-46EF-8BF5-5996CA18C5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[Internship.xlsx]Task5(1)!PivotTable36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'Task5(1)'!$B$3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'Task5(1)'!$A$4:$A$7</c:f>
              <c:strCache>
                <c:ptCount val="3"/>
                <c:pt idx="0">
                  <c:v>Capital Appreciation</c:v>
                </c:pt>
                <c:pt idx="1">
                  <c:v>Dividend</c:v>
                </c:pt>
                <c:pt idx="2">
                  <c:v>Liquidity</c:v>
                </c:pt>
              </c:strCache>
            </c:strRef>
          </c:cat>
          <c:val>
            <c:numRef>
              <c:f>'Task5(1)'!$B$4:$B$7</c:f>
              <c:numCache>
                <c:formatCode>General</c:formatCode>
                <c:ptCount val="3"/>
                <c:pt idx="0">
                  <c:v>30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6-43B8-8FDB-0471D32ED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01856"/>
        <c:axId val="50007136"/>
      </c:barChart>
      <c:catAx>
        <c:axId val="500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7136"/>
        <c:crosses val="autoZero"/>
        <c:auto val="1"/>
        <c:lblAlgn val="ctr"/>
        <c:lblOffset val="100"/>
        <c:noMultiLvlLbl val="0"/>
      </c:catAx>
      <c:valAx>
        <c:axId val="5000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[Internship.xlsx]Task5(1)!PivotTable45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'Task5(1)'!$B$11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'Task5(1)'!$A$12:$A$15</c:f>
              <c:strCache>
                <c:ptCount val="3"/>
                <c:pt idx="0">
                  <c:v>Better Returns</c:v>
                </c:pt>
                <c:pt idx="1">
                  <c:v>Fund Diversification</c:v>
                </c:pt>
                <c:pt idx="2">
                  <c:v>Tax Benefits</c:v>
                </c:pt>
              </c:strCache>
            </c:strRef>
          </c:cat>
          <c:val>
            <c:numRef>
              <c:f>'Task5(1)'!$B$12:$B$15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E-4A8C-BCAE-BF34CC555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228847"/>
        <c:axId val="315229327"/>
      </c:barChart>
      <c:catAx>
        <c:axId val="31522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29327"/>
        <c:crosses val="autoZero"/>
        <c:auto val="1"/>
        <c:lblAlgn val="ctr"/>
        <c:lblOffset val="100"/>
        <c:noMultiLvlLbl val="0"/>
      </c:catAx>
      <c:valAx>
        <c:axId val="31522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2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[Internship.xlsx]Task5(1)!PivotTable53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'Task5(1)'!$B$19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'Task5(1)'!$A$20:$A$23</c:f>
              <c:strCache>
                <c:ptCount val="3"/>
                <c:pt idx="0">
                  <c:v>Assured Returns</c:v>
                </c:pt>
                <c:pt idx="1">
                  <c:v>Safe Investment</c:v>
                </c:pt>
                <c:pt idx="2">
                  <c:v>Tax Incentives</c:v>
                </c:pt>
              </c:strCache>
            </c:strRef>
          </c:cat>
          <c:val>
            <c:numRef>
              <c:f>'Task5(1)'!$B$20:$B$23</c:f>
              <c:numCache>
                <c:formatCode>General</c:formatCode>
                <c:ptCount val="3"/>
                <c:pt idx="0">
                  <c:v>26</c:v>
                </c:pt>
                <c:pt idx="1">
                  <c:v>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4-45FB-BE9E-6A6242A4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270127"/>
        <c:axId val="315279727"/>
      </c:barChart>
      <c:catAx>
        <c:axId val="31527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79727"/>
        <c:crosses val="autoZero"/>
        <c:auto val="1"/>
        <c:lblAlgn val="ctr"/>
        <c:lblOffset val="100"/>
        <c:noMultiLvlLbl val="0"/>
      </c:catAx>
      <c:valAx>
        <c:axId val="3152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7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[Internship.xlsx]Task5(1)!PivotTable55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'Task5(1)'!$B$27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'Task5(1)'!$A$28:$A$31</c:f>
              <c:strCache>
                <c:ptCount val="3"/>
                <c:pt idx="0">
                  <c:v>Fixed Returns</c:v>
                </c:pt>
                <c:pt idx="1">
                  <c:v>High Interest Rates</c:v>
                </c:pt>
                <c:pt idx="2">
                  <c:v>Risk Free</c:v>
                </c:pt>
              </c:strCache>
            </c:strRef>
          </c:cat>
          <c:val>
            <c:numRef>
              <c:f>'Task5(1)'!$B$28:$B$31</c:f>
              <c:numCache>
                <c:formatCode>General</c:formatCode>
                <c:ptCount val="3"/>
                <c:pt idx="0">
                  <c:v>18</c:v>
                </c:pt>
                <c:pt idx="1">
                  <c:v>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0-4332-98D1-E3E650C22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341647"/>
        <c:axId val="315332527"/>
      </c:barChart>
      <c:catAx>
        <c:axId val="31534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32527"/>
        <c:crosses val="autoZero"/>
        <c:auto val="1"/>
        <c:lblAlgn val="ctr"/>
        <c:lblOffset val="100"/>
        <c:noMultiLvlLbl val="0"/>
      </c:catAx>
      <c:valAx>
        <c:axId val="3153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34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[Internship.xlsx]Task6!PivotTable12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Task6!$A$4:$A$7</c:f>
              <c:strCache>
                <c:ptCount val="3"/>
                <c:pt idx="0">
                  <c:v>Education</c:v>
                </c:pt>
                <c:pt idx="1">
                  <c:v>Health Care</c:v>
                </c:pt>
                <c:pt idx="2">
                  <c:v>Retirement Plan</c:v>
                </c:pt>
              </c:strCache>
            </c:strRef>
          </c:cat>
          <c:val>
            <c:numRef>
              <c:f>Task6!$B$4:$B$7</c:f>
              <c:numCache>
                <c:formatCode>General</c:formatCode>
                <c:ptCount val="3"/>
                <c:pt idx="0">
                  <c:v>3</c:v>
                </c:pt>
                <c:pt idx="1">
                  <c:v>13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A-4490-A0EE-85839F13C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991632"/>
        <c:axId val="133990192"/>
        <c:axId val="0"/>
      </c:bar3DChart>
      <c:catAx>
        <c:axId val="13399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0192"/>
        <c:crosses val="autoZero"/>
        <c:auto val="1"/>
        <c:lblAlgn val="ctr"/>
        <c:lblOffset val="100"/>
        <c:noMultiLvlLbl val="0"/>
      </c:catAx>
      <c:valAx>
        <c:axId val="13399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[Internship.xlsx]Task7!PivotTable14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Task7!$B$3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B333-48E2-9C19-B6A36AF6E2C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B333-48E2-9C19-B6A36AF6E2C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B333-48E2-9C19-B6A36AF6E2C0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B333-48E2-9C19-B6A36AF6E2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Task7!$A$4:$A$8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Task7!$B$4:$B$8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2-4D12-BD96-FC1649C239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56036745406818E-2"/>
          <c:y val="0.2120640365923385"/>
          <c:w val="0.87232174103237092"/>
          <c:h val="0.65529864084313649"/>
        </c:manualLayout>
      </c:layout>
      <c:scatterChart>
        <c:scatterStyle val="lineMarker"/>
        <c:varyColors val="0"/>
        <c:ser>
          <c:idx val="0"/>
          <c:order val="0"/>
          <c:tx>
            <c:strRef>
              <c:f>Task10!$B$1</c:f>
              <c:strCache>
                <c:ptCount val="1"/>
                <c:pt idx="0">
                  <c:v>Expectation returns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Task10!$A$2:$A$41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Task10!$B$2:$B$41</c:f>
              <c:numCache>
                <c:formatCode>General</c:formatCode>
                <c:ptCount val="40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0.15</c:v>
                </c:pt>
                <c:pt idx="4">
                  <c:v>0.25</c:v>
                </c:pt>
                <c:pt idx="5">
                  <c:v>0.35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0.35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0.35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0.15</c:v>
                </c:pt>
                <c:pt idx="30">
                  <c:v>0.15</c:v>
                </c:pt>
                <c:pt idx="31">
                  <c:v>0.25</c:v>
                </c:pt>
                <c:pt idx="32">
                  <c:v>0.35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0.35</c:v>
                </c:pt>
                <c:pt idx="38">
                  <c:v>0.25</c:v>
                </c:pt>
                <c:pt idx="39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B-484F-90BC-A01099C67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350688"/>
        <c:axId val="475351168"/>
      </c:scatterChart>
      <c:valAx>
        <c:axId val="4753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51168"/>
        <c:crosses val="autoZero"/>
        <c:crossBetween val="midCat"/>
      </c:valAx>
      <c:valAx>
        <c:axId val="4753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8</xdr:row>
      <xdr:rowOff>144780</xdr:rowOff>
    </xdr:from>
    <xdr:to>
      <xdr:col>5</xdr:col>
      <xdr:colOff>53340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E97DD-9735-9317-9609-7E86FEB7C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8</xdr:row>
      <xdr:rowOff>0</xdr:rowOff>
    </xdr:from>
    <xdr:to>
      <xdr:col>5</xdr:col>
      <xdr:colOff>251460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71430-C59C-065F-BAE3-970C573DC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179070</xdr:rowOff>
    </xdr:from>
    <xdr:to>
      <xdr:col>8</xdr:col>
      <xdr:colOff>464820</xdr:colOff>
      <xdr:row>15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EF2ED-1BB3-4501-6B78-1AEC34978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472440</xdr:colOff>
      <xdr:row>1</xdr:row>
      <xdr:rowOff>171450</xdr:rowOff>
    </xdr:from>
    <xdr:to>
      <xdr:col>14</xdr:col>
      <xdr:colOff>320040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74409-5FAB-BFE9-B5BB-5E430CF2A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15</xdr:row>
      <xdr:rowOff>156210</xdr:rowOff>
    </xdr:from>
    <xdr:to>
      <xdr:col>8</xdr:col>
      <xdr:colOff>472440</xdr:colOff>
      <xdr:row>29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CD0BB9-EFE4-DD17-72DC-A21B0D7B5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464820</xdr:colOff>
      <xdr:row>15</xdr:row>
      <xdr:rowOff>156210</xdr:rowOff>
    </xdr:from>
    <xdr:to>
      <xdr:col>14</xdr:col>
      <xdr:colOff>350520</xdr:colOff>
      <xdr:row>29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87D95E-9EB8-FA69-CBAE-206D5502C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9</xdr:row>
      <xdr:rowOff>3810</xdr:rowOff>
    </xdr:from>
    <xdr:to>
      <xdr:col>4</xdr:col>
      <xdr:colOff>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7966F-E16F-EC70-5770-7FB232577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163830</xdr:rowOff>
    </xdr:from>
    <xdr:to>
      <xdr:col>10</xdr:col>
      <xdr:colOff>320040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CB0C8-1D89-B723-2365-E4DF9130F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7</xdr:row>
      <xdr:rowOff>175260</xdr:rowOff>
    </xdr:from>
    <xdr:to>
      <xdr:col>7</xdr:col>
      <xdr:colOff>289560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C135CD-1A8D-AF8F-5E85-820C1EB16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0.782837847219" createdVersion="8" refreshedVersion="8" minRefreshableVersion="3" recordCount="40" xr:uid="{D799CB8E-965B-4370-96E1-38F235C17B76}">
  <cacheSource type="worksheet">
    <worksheetSource ref="A1:A41" sheet="Task2"/>
  </cacheSource>
  <cacheFields count="1"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0.883841435185" createdVersion="8" refreshedVersion="8" minRefreshableVersion="3" recordCount="40" xr:uid="{13CE2BE2-D648-4B0D-B1C7-A6A0DB65BEFC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 count="6">
        <n v="2"/>
        <n v="3"/>
        <n v="6"/>
        <n v="1"/>
        <n v="5"/>
        <n v="4"/>
      </sharedItems>
    </cacheField>
    <cacheField name="Debentures" numFmtId="0">
      <sharedItems containsSemiMixedTypes="0" containsString="0" containsNumber="1" containsInteger="1" minValue="1" maxValue="7" count="7">
        <n v="5"/>
        <n v="2"/>
        <n v="4"/>
        <n v="3"/>
        <n v="7"/>
        <n v="6"/>
        <n v="1"/>
      </sharedItems>
    </cacheField>
    <cacheField name="Government_Bonds" numFmtId="0">
      <sharedItems containsSemiMixedTypes="0" containsString="0" containsNumber="1" containsInteger="1" minValue="1" maxValue="7" count="7">
        <n v="3"/>
        <n v="1"/>
        <n v="2"/>
        <n v="7"/>
        <n v="6"/>
        <n v="4"/>
        <n v="5"/>
      </sharedItems>
    </cacheField>
    <cacheField name="Fixed_Deposits" numFmtId="0">
      <sharedItems containsSemiMixedTypes="0" containsString="0" containsNumber="1" containsInteger="1" minValue="1" maxValue="7" count="7">
        <n v="7"/>
        <n v="5"/>
        <n v="6"/>
        <n v="4"/>
        <n v="3"/>
        <n v="1"/>
        <n v="2"/>
      </sharedItems>
    </cacheField>
    <cacheField name="PPF" numFmtId="0">
      <sharedItems containsSemiMixedTypes="0" containsString="0" containsNumber="1" containsInteger="1" minValue="1" maxValue="6" count="6">
        <n v="6"/>
        <n v="1"/>
        <n v="4"/>
        <n v="5"/>
        <n v="2"/>
        <n v="3"/>
      </sharedItems>
    </cacheField>
    <cacheField name="Gold" numFmtId="0">
      <sharedItems containsSemiMixedTypes="0" containsString="0" containsNumber="1" containsInteger="1" minValue="2" maxValue="7" count="6">
        <n v="4"/>
        <n v="7"/>
        <n v="5"/>
        <n v="2"/>
        <n v="6"/>
        <n v="3"/>
      </sharedItems>
    </cacheField>
    <cacheField name="Stock_Marktet" numFmtId="0">
      <sharedItems count="2">
        <s v="Yes"/>
        <s v="No"/>
      </sharedItems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  <cacheField name="Count" numFmtId="0">
      <sharedItems containsSemiMixedTypes="0" containsString="0" containsNumber="1" containsInteger="1" minValue="23" maxValue="23" count="1"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0.916698958332" createdVersion="8" refreshedVersion="8" minRefreshableVersion="3" recordCount="40" xr:uid="{DA6FE501-A1FF-4781-BEC8-2EFBB5483733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  <cacheField name="Count" numFmtId="0">
      <sharedItems containsSemiMixedTypes="0" containsString="0" containsNumber="1" containsInteger="1" minValue="23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0.919745601852" createdVersion="8" refreshedVersion="8" minRefreshableVersion="3" recordCount="40" xr:uid="{73C607A9-3240-4879-BDF5-93CC989B0898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  <cacheField name="Count" numFmtId="0">
      <sharedItems containsSemiMixedTypes="0" containsString="0" containsNumber="1" containsInteger="1" minValue="23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0.920218634259" createdVersion="8" refreshedVersion="8" minRefreshableVersion="3" recordCount="40" xr:uid="{7B53DE22-FD09-46A0-ABBF-31C97AC3C642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/>
    </cacheField>
    <cacheField name="Source" numFmtId="0">
      <sharedItems/>
    </cacheField>
    <cacheField name="Count" numFmtId="0">
      <sharedItems containsSemiMixedTypes="0" containsString="0" containsNumber="1" containsInteger="1" minValue="23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0.920745370371" createdVersion="8" refreshedVersion="8" minRefreshableVersion="3" recordCount="40" xr:uid="{AD2D840A-761F-40D9-A592-08B23EBE850A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/>
    </cacheField>
    <cacheField name="Count" numFmtId="0">
      <sharedItems containsSemiMixedTypes="0" containsString="0" containsNumber="1" containsInteger="1" minValue="23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1.544705787041" createdVersion="8" refreshedVersion="8" minRefreshableVersion="3" recordCount="40" xr:uid="{3DA2DA27-2726-4F91-A449-8E26A9772949}">
  <cacheSource type="worksheet">
    <worksheetSource ref="A1:D41" sheet="Task5(2)"/>
  </cacheSource>
  <cacheFields count="8"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Investment type" numFmtId="0">
      <sharedItems containsBlank="1" count="5">
        <s v="Equity"/>
        <s v="Mutual fund"/>
        <s v="Bond"/>
        <s v="FD"/>
        <m/>
      </sharedItems>
    </cacheField>
    <cacheField name="Reasons" numFmtId="0">
      <sharedItems containsBlank="1" count="13">
        <s v="Capital Appreciation"/>
        <s v="Dividend"/>
        <s v="Liquidity"/>
        <s v="Better Returns"/>
        <s v="Tax Benefits"/>
        <s v="Fund Diversification"/>
        <s v="Safe Investment"/>
        <s v="Assured Returns"/>
        <s v="Tax Incentives"/>
        <s v="Fixed Returns"/>
        <s v="High Interest Rates"/>
        <s v="Risk Free"/>
        <m/>
      </sharedItems>
    </cacheField>
    <cacheField name="Theme" numFmtId="0">
      <sharedItems containsBlank="1" count="6">
        <s v="Growth"/>
        <s v="Income"/>
        <s v="Liquidity"/>
        <s v="Tax benefit"/>
        <s v="Safety"/>
        <m/>
      </sharedItems>
    </cacheField>
    <cacheField name="count" numFmtId="0">
      <sharedItems containsString="0" containsBlank="1" containsNumber="1" containsInteger="1" minValue="1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1.645441666667" createdVersion="8" refreshedVersion="8" minRefreshableVersion="3" recordCount="40" xr:uid="{E86AD333-1810-411B-90C0-877B6E5FD769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  <cacheField name="Stock Market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1.650400115737" createdVersion="8" refreshedVersion="8" minRefreshableVersion="3" recordCount="40" xr:uid="{1EC00539-4540-4EE1-872A-34A83DD05E9D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  <cacheField name="Stock Market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waran MBR" refreshedDate="45908.64397326389" createdVersion="8" refreshedVersion="8" minRefreshableVersion="3" recordCount="40" xr:uid="{3E8DAA1F-F09B-4BB2-83BF-4545703C4146}">
  <cacheSource type="worksheet">
    <worksheetSource name="Table1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 count="3">
        <s v="20%-30%"/>
        <s v="10%-20%"/>
        <s v="30%-40%"/>
      </sharedItems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  <cacheField name="Stock Market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x v="0"/>
    <x v="0"/>
    <x v="0"/>
    <x v="0"/>
    <x v="0"/>
    <x v="0"/>
    <x v="0"/>
    <x v="0"/>
    <x v="0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s v="Fixed Returns"/>
    <s v="Newspapers and Magazines"/>
    <x v="0"/>
  </r>
  <r>
    <s v="Female"/>
    <n v="23"/>
    <x v="0"/>
    <x v="1"/>
    <x v="1"/>
    <x v="1"/>
    <x v="1"/>
    <x v="1"/>
    <x v="0"/>
    <x v="1"/>
    <x v="1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s v="High Interest Rates"/>
    <s v="Financial Consultants"/>
    <x v="0"/>
  </r>
  <r>
    <s v="Male"/>
    <n v="30"/>
    <x v="0"/>
    <x v="2"/>
    <x v="2"/>
    <x v="2"/>
    <x v="2"/>
    <x v="1"/>
    <x v="1"/>
    <x v="1"/>
    <x v="0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s v="Fixed Returns"/>
    <s v="Television"/>
    <x v="0"/>
  </r>
  <r>
    <s v="Male"/>
    <n v="22"/>
    <x v="0"/>
    <x v="3"/>
    <x v="3"/>
    <x v="3"/>
    <x v="3"/>
    <x v="2"/>
    <x v="2"/>
    <x v="2"/>
    <x v="0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s v="High Interest Rates"/>
    <s v="Internet"/>
    <x v="0"/>
  </r>
  <r>
    <s v="Female"/>
    <n v="24"/>
    <x v="1"/>
    <x v="3"/>
    <x v="3"/>
    <x v="3"/>
    <x v="4"/>
    <x v="3"/>
    <x v="3"/>
    <x v="1"/>
    <x v="1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s v="Risk Free"/>
    <s v="Internet"/>
    <x v="0"/>
  </r>
  <r>
    <s v="Female"/>
    <n v="24"/>
    <x v="1"/>
    <x v="4"/>
    <x v="4"/>
    <x v="2"/>
    <x v="4"/>
    <x v="4"/>
    <x v="1"/>
    <x v="3"/>
    <x v="1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s v="Risk Free"/>
    <s v="Internet"/>
    <x v="0"/>
  </r>
  <r>
    <s v="Female"/>
    <n v="27"/>
    <x v="0"/>
    <x v="2"/>
    <x v="2"/>
    <x v="2"/>
    <x v="2"/>
    <x v="1"/>
    <x v="1"/>
    <x v="1"/>
    <x v="0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s v="High Interest Rates"/>
    <s v="Financial Consultants"/>
    <x v="0"/>
  </r>
  <r>
    <s v="Male"/>
    <n v="21"/>
    <x v="0"/>
    <x v="3"/>
    <x v="1"/>
    <x v="4"/>
    <x v="5"/>
    <x v="2"/>
    <x v="1"/>
    <x v="2"/>
    <x v="0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Newspapers and Magazines"/>
    <x v="0"/>
  </r>
  <r>
    <s v="Male"/>
    <n v="35"/>
    <x v="0"/>
    <x v="3"/>
    <x v="5"/>
    <x v="4"/>
    <x v="6"/>
    <x v="4"/>
    <x v="1"/>
    <x v="4"/>
    <x v="0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s v="Fixed Returns"/>
    <s v="Television"/>
    <x v="0"/>
  </r>
  <r>
    <s v="Male"/>
    <n v="31"/>
    <x v="0"/>
    <x v="0"/>
    <x v="1"/>
    <x v="4"/>
    <x v="5"/>
    <x v="1"/>
    <x v="4"/>
    <x v="4"/>
    <x v="0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s v="Newspapers and Magazines"/>
    <x v="0"/>
  </r>
  <r>
    <s v="Female"/>
    <n v="35"/>
    <x v="0"/>
    <x v="3"/>
    <x v="5"/>
    <x v="4"/>
    <x v="6"/>
    <x v="4"/>
    <x v="1"/>
    <x v="4"/>
    <x v="0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s v="Risk Free"/>
    <s v="Financial Consultants"/>
    <x v="0"/>
  </r>
  <r>
    <s v="Male"/>
    <n v="29"/>
    <x v="0"/>
    <x v="3"/>
    <x v="4"/>
    <x v="4"/>
    <x v="4"/>
    <x v="4"/>
    <x v="1"/>
    <x v="0"/>
    <x v="0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s v="Financial Consultants"/>
    <x v="0"/>
  </r>
  <r>
    <s v="Female"/>
    <n v="21"/>
    <x v="1"/>
    <x v="0"/>
    <x v="0"/>
    <x v="3"/>
    <x v="5"/>
    <x v="1"/>
    <x v="0"/>
    <x v="1"/>
    <x v="1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s v="Risk Free"/>
    <s v="Internet"/>
    <x v="0"/>
  </r>
  <r>
    <s v="Female"/>
    <n v="28"/>
    <x v="0"/>
    <x v="3"/>
    <x v="1"/>
    <x v="4"/>
    <x v="5"/>
    <x v="1"/>
    <x v="1"/>
    <x v="4"/>
    <x v="0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Risk Free"/>
    <s v="Newspapers and Magazines"/>
    <x v="0"/>
  </r>
  <r>
    <s v="Female"/>
    <n v="25"/>
    <x v="0"/>
    <x v="3"/>
    <x v="1"/>
    <x v="4"/>
    <x v="6"/>
    <x v="3"/>
    <x v="1"/>
    <x v="4"/>
    <x v="0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s v="Risk Free"/>
    <s v="Financial Consultants"/>
    <x v="0"/>
  </r>
  <r>
    <s v="Male"/>
    <n v="27"/>
    <x v="0"/>
    <x v="3"/>
    <x v="1"/>
    <x v="4"/>
    <x v="6"/>
    <x v="3"/>
    <x v="1"/>
    <x v="4"/>
    <x v="0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s v="Risk Free"/>
    <s v="Newspapers and Magazines"/>
    <x v="0"/>
  </r>
  <r>
    <s v="Female"/>
    <n v="28"/>
    <x v="0"/>
    <x v="2"/>
    <x v="0"/>
    <x v="4"/>
    <x v="6"/>
    <x v="3"/>
    <x v="1"/>
    <x v="4"/>
    <x v="0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s v="Risk Free"/>
    <s v="Television"/>
    <x v="0"/>
  </r>
  <r>
    <s v="Male"/>
    <n v="27"/>
    <x v="0"/>
    <x v="2"/>
    <x v="0"/>
    <x v="4"/>
    <x v="5"/>
    <x v="1"/>
    <x v="1"/>
    <x v="4"/>
    <x v="0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Financial Consultants"/>
    <x v="0"/>
  </r>
  <r>
    <s v="Male"/>
    <n v="29"/>
    <x v="0"/>
    <x v="2"/>
    <x v="0"/>
    <x v="4"/>
    <x v="5"/>
    <x v="1"/>
    <x v="1"/>
    <x v="4"/>
    <x v="0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Newspapers and Magazines"/>
    <x v="0"/>
  </r>
  <r>
    <s v="Male"/>
    <n v="26"/>
    <x v="0"/>
    <x v="2"/>
    <x v="5"/>
    <x v="5"/>
    <x v="6"/>
    <x v="5"/>
    <x v="4"/>
    <x v="1"/>
    <x v="0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s v="Risk Free"/>
    <s v="Newspapers and Magazines"/>
    <x v="0"/>
  </r>
  <r>
    <s v="Male"/>
    <n v="29"/>
    <x v="0"/>
    <x v="3"/>
    <x v="5"/>
    <x v="4"/>
    <x v="6"/>
    <x v="4"/>
    <x v="1"/>
    <x v="4"/>
    <x v="0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s v="Fixed Returns"/>
    <s v="Financial Consultants"/>
    <x v="0"/>
  </r>
  <r>
    <s v="Female"/>
    <n v="24"/>
    <x v="0"/>
    <x v="3"/>
    <x v="5"/>
    <x v="0"/>
    <x v="4"/>
    <x v="4"/>
    <x v="1"/>
    <x v="1"/>
    <x v="0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s v="Risk Free"/>
    <s v="Newspapers and Magazines"/>
    <x v="0"/>
  </r>
  <r>
    <s v="Male"/>
    <n v="27"/>
    <x v="0"/>
    <x v="2"/>
    <x v="5"/>
    <x v="5"/>
    <x v="6"/>
    <x v="6"/>
    <x v="1"/>
    <x v="1"/>
    <x v="0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Financial Consultants"/>
    <x v="0"/>
  </r>
  <r>
    <s v="Male"/>
    <n v="25"/>
    <x v="0"/>
    <x v="3"/>
    <x v="5"/>
    <x v="5"/>
    <x v="6"/>
    <x v="4"/>
    <x v="1"/>
    <x v="1"/>
    <x v="0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s v="Risk Free"/>
    <s v="Financial Consultants"/>
    <x v="0"/>
  </r>
  <r>
    <s v="Female"/>
    <n v="26"/>
    <x v="0"/>
    <x v="3"/>
    <x v="1"/>
    <x v="4"/>
    <x v="6"/>
    <x v="3"/>
    <x v="1"/>
    <x v="4"/>
    <x v="0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s v="Newspapers and Magazines"/>
    <x v="0"/>
  </r>
  <r>
    <s v="Female"/>
    <n v="32"/>
    <x v="0"/>
    <x v="2"/>
    <x v="5"/>
    <x v="4"/>
    <x v="6"/>
    <x v="5"/>
    <x v="4"/>
    <x v="4"/>
    <x v="0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s v="Fixed Returns"/>
    <s v="Financial Consultants"/>
    <x v="0"/>
  </r>
  <r>
    <s v="Male"/>
    <n v="26"/>
    <x v="0"/>
    <x v="2"/>
    <x v="5"/>
    <x v="5"/>
    <x v="6"/>
    <x v="5"/>
    <x v="4"/>
    <x v="1"/>
    <x v="0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s v="Fixed Returns"/>
    <s v="Financial Consultants"/>
    <x v="0"/>
  </r>
  <r>
    <s v="Male"/>
    <n v="31"/>
    <x v="0"/>
    <x v="3"/>
    <x v="1"/>
    <x v="4"/>
    <x v="4"/>
    <x v="3"/>
    <x v="1"/>
    <x v="2"/>
    <x v="0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s v="Television"/>
    <x v="0"/>
  </r>
  <r>
    <s v="Male"/>
    <n v="29"/>
    <x v="0"/>
    <x v="3"/>
    <x v="1"/>
    <x v="5"/>
    <x v="6"/>
    <x v="5"/>
    <x v="2"/>
    <x v="1"/>
    <x v="0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Television"/>
    <x v="0"/>
  </r>
  <r>
    <s v="Female"/>
    <n v="34"/>
    <x v="0"/>
    <x v="5"/>
    <x v="5"/>
    <x v="3"/>
    <x v="2"/>
    <x v="0"/>
    <x v="1"/>
    <x v="4"/>
    <x v="0"/>
    <s v="Returns"/>
    <s v="Income"/>
    <s v="Returns"/>
    <s v="3-5 years"/>
    <s v="Monthly"/>
    <s v="10%-20%"/>
    <s v="Mutual Fund"/>
    <s v="Retirement Plan"/>
    <s v="Capital Appreciation"/>
    <s v="Tax Benefits"/>
    <s v="Safe Investment"/>
    <s v="Fixed Returns"/>
    <s v="Newspapers and Magazines"/>
    <x v="0"/>
  </r>
  <r>
    <s v="Male"/>
    <n v="27"/>
    <x v="0"/>
    <x v="1"/>
    <x v="4"/>
    <x v="6"/>
    <x v="2"/>
    <x v="0"/>
    <x v="5"/>
    <x v="4"/>
    <x v="1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s v="Fixed Returns"/>
    <s v="Television"/>
    <x v="0"/>
  </r>
  <r>
    <s v="Female"/>
    <n v="31"/>
    <x v="0"/>
    <x v="3"/>
    <x v="5"/>
    <x v="4"/>
    <x v="4"/>
    <x v="4"/>
    <x v="1"/>
    <x v="2"/>
    <x v="0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s v="Fixed Returns"/>
    <s v="Financial Consultants"/>
    <x v="0"/>
  </r>
  <r>
    <s v="Male"/>
    <n v="27"/>
    <x v="0"/>
    <x v="3"/>
    <x v="5"/>
    <x v="4"/>
    <x v="6"/>
    <x v="5"/>
    <x v="5"/>
    <x v="4"/>
    <x v="0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s v="Fixed Returns"/>
    <s v="Newspapers and Magazines"/>
    <x v="0"/>
  </r>
  <r>
    <s v="Male"/>
    <n v="26"/>
    <x v="0"/>
    <x v="3"/>
    <x v="1"/>
    <x v="5"/>
    <x v="5"/>
    <x v="5"/>
    <x v="3"/>
    <x v="1"/>
    <x v="0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s v="Risk Free"/>
    <s v="Newspapers and Magazines"/>
    <x v="0"/>
  </r>
  <r>
    <s v="Male"/>
    <n v="27"/>
    <x v="0"/>
    <x v="3"/>
    <x v="1"/>
    <x v="5"/>
    <x v="6"/>
    <x v="3"/>
    <x v="1"/>
    <x v="1"/>
    <x v="0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s v="Fixed Returns"/>
    <s v="Financial Consultants"/>
    <x v="0"/>
  </r>
  <r>
    <s v="Male"/>
    <n v="30"/>
    <x v="0"/>
    <x v="0"/>
    <x v="5"/>
    <x v="5"/>
    <x v="6"/>
    <x v="4"/>
    <x v="4"/>
    <x v="1"/>
    <x v="0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s v="Fixed Returns"/>
    <s v="Financial Consultants"/>
    <x v="0"/>
  </r>
  <r>
    <s v="Male"/>
    <n v="30"/>
    <x v="0"/>
    <x v="3"/>
    <x v="5"/>
    <x v="4"/>
    <x v="6"/>
    <x v="5"/>
    <x v="5"/>
    <x v="4"/>
    <x v="0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Newspapers and Magazines"/>
    <x v="0"/>
  </r>
  <r>
    <s v="Male"/>
    <n v="25"/>
    <x v="0"/>
    <x v="5"/>
    <x v="5"/>
    <x v="4"/>
    <x v="4"/>
    <x v="5"/>
    <x v="4"/>
    <x v="5"/>
    <x v="0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s v="Financial Consultants"/>
    <x v="0"/>
  </r>
  <r>
    <s v="Male"/>
    <n v="31"/>
    <x v="0"/>
    <x v="3"/>
    <x v="5"/>
    <x v="4"/>
    <x v="6"/>
    <x v="4"/>
    <x v="1"/>
    <x v="4"/>
    <x v="0"/>
    <s v="Risk"/>
    <s v="Growth"/>
    <s v="Wealth Creation"/>
    <s v="1-3 years"/>
    <s v="Weekly"/>
    <s v="20%-30%"/>
    <s v="Equity"/>
    <s v="Health Care"/>
    <s v="Dividend"/>
    <s v="Fund Diversification"/>
    <s v="Assured Returns"/>
    <s v="Fixed Returns"/>
    <s v="Newspapers and Magazines"/>
    <x v="0"/>
  </r>
  <r>
    <s v="Male"/>
    <n v="29"/>
    <x v="0"/>
    <x v="1"/>
    <x v="1"/>
    <x v="0"/>
    <x v="3"/>
    <x v="6"/>
    <x v="1"/>
    <x v="4"/>
    <x v="0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s v="Fixed Returns"/>
    <s v="Financial Consultants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x v="0"/>
    <x v="0"/>
    <s v="Safe Investment"/>
    <s v="Fixed Returns"/>
    <s v="Newspapers and Magazines"/>
    <n v="23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x v="1"/>
    <x v="0"/>
    <s v="Safe Investment"/>
    <s v="High Interest Rates"/>
    <s v="Financial Consultants"/>
    <n v="23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x v="0"/>
    <x v="1"/>
    <s v="Assured Returns"/>
    <s v="Fixed Returns"/>
    <s v="Television"/>
    <n v="23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x v="1"/>
    <x v="2"/>
    <s v="Tax Incentives"/>
    <s v="High Interest Rates"/>
    <s v="Internet"/>
    <n v="2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x v="0"/>
    <x v="0"/>
    <s v="Safe Investment"/>
    <s v="Risk Free"/>
    <s v="Internet"/>
    <n v="2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x v="2"/>
    <x v="2"/>
    <s v="Safe Investment"/>
    <s v="Risk Free"/>
    <s v="Internet"/>
    <n v="2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x v="0"/>
    <x v="0"/>
    <s v="Assured Returns"/>
    <s v="High Interest Rates"/>
    <s v="Financial Consultants"/>
    <n v="23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x v="0"/>
    <x v="0"/>
    <s v="Assured Returns"/>
    <s v="Risk Free"/>
    <s v="Newspapers and Magazines"/>
    <n v="23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x v="0"/>
    <x v="2"/>
    <s v="Safe Investment"/>
    <s v="Fixed Returns"/>
    <s v="Television"/>
    <n v="23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x v="0"/>
    <x v="2"/>
    <s v="Assured Returns"/>
    <s v="Fixed Returns"/>
    <s v="Newspapers and Magazines"/>
    <n v="23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x v="0"/>
    <x v="0"/>
    <s v="Assured Returns"/>
    <s v="Risk Free"/>
    <s v="Financial Consultants"/>
    <n v="23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x v="0"/>
    <x v="2"/>
    <s v="Assured Returns"/>
    <s v="Fixed Returns"/>
    <s v="Financial Consultants"/>
    <n v="23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x v="1"/>
    <x v="0"/>
    <s v="Safe Investment"/>
    <s v="Risk Free"/>
    <s v="Internet"/>
    <n v="2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x v="0"/>
    <x v="2"/>
    <s v="Assured Returns"/>
    <s v="Risk Free"/>
    <s v="Newspapers and Magazines"/>
    <n v="23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x v="1"/>
    <x v="0"/>
    <s v="Assured Returns"/>
    <s v="Risk Free"/>
    <s v="Financial Consultants"/>
    <n v="23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x v="0"/>
    <x v="2"/>
    <s v="Assured Returns"/>
    <s v="Risk Free"/>
    <s v="Newspapers and Magazines"/>
    <n v="23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x v="0"/>
    <x v="2"/>
    <s v="Assured Returns"/>
    <s v="Risk Free"/>
    <s v="Television"/>
    <n v="23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x v="0"/>
    <x v="0"/>
    <s v="Assured Returns"/>
    <s v="Risk Free"/>
    <s v="Financial Consultants"/>
    <n v="23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x v="0"/>
    <x v="0"/>
    <s v="Assured Returns"/>
    <s v="Risk Free"/>
    <s v="Newspapers and Magazines"/>
    <n v="23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x v="0"/>
    <x v="2"/>
    <s v="Assured Returns"/>
    <s v="Risk Free"/>
    <s v="Newspapers and Magazines"/>
    <n v="23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x v="0"/>
    <x v="0"/>
    <s v="Assured Returns"/>
    <s v="Fixed Returns"/>
    <s v="Financial Consultants"/>
    <n v="23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x v="0"/>
    <x v="0"/>
    <s v="Assured Returns"/>
    <s v="Risk Free"/>
    <s v="Newspapers and Magazines"/>
    <n v="23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x v="0"/>
    <x v="0"/>
    <s v="Assured Returns"/>
    <s v="Risk Free"/>
    <s v="Financial Consultants"/>
    <n v="23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x v="2"/>
    <x v="0"/>
    <s v="Assured Returns"/>
    <s v="Risk Free"/>
    <s v="Financial Consultants"/>
    <n v="23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x v="0"/>
    <x v="0"/>
    <s v="Assured Returns"/>
    <s v="Risk Free"/>
    <s v="Newspapers and Magazines"/>
    <n v="23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x v="0"/>
    <x v="0"/>
    <s v="Assured Returns"/>
    <s v="Fixed Returns"/>
    <s v="Financial Consultants"/>
    <n v="23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x v="1"/>
    <x v="2"/>
    <s v="Assured Returns"/>
    <s v="Fixed Returns"/>
    <s v="Financial Consultants"/>
    <n v="23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x v="0"/>
    <x v="2"/>
    <s v="Safe Investment"/>
    <s v="Fixed Returns"/>
    <s v="Television"/>
    <n v="23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x v="0"/>
    <x v="0"/>
    <s v="Assured Returns"/>
    <s v="Risk Free"/>
    <s v="Television"/>
    <n v="23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x v="0"/>
    <x v="1"/>
    <s v="Safe Investment"/>
    <s v="Fixed Returns"/>
    <s v="Newspapers and Magazines"/>
    <n v="23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x v="0"/>
    <x v="1"/>
    <s v="Safe Investment"/>
    <s v="Fixed Returns"/>
    <s v="Television"/>
    <n v="23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x v="0"/>
    <x v="0"/>
    <s v="Assured Returns"/>
    <s v="Fixed Returns"/>
    <s v="Financial Consultants"/>
    <n v="23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x v="0"/>
    <x v="2"/>
    <s v="Assured Returns"/>
    <s v="Fixed Returns"/>
    <s v="Newspapers and Magazines"/>
    <n v="23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x v="1"/>
    <x v="0"/>
    <s v="Safe Investment"/>
    <s v="Risk Free"/>
    <s v="Newspapers and Magazines"/>
    <n v="23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x v="0"/>
    <x v="0"/>
    <s v="Safe Investment"/>
    <s v="Fixed Returns"/>
    <s v="Financial Consultants"/>
    <n v="23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x v="0"/>
    <x v="0"/>
    <s v="Assured Returns"/>
    <s v="Fixed Returns"/>
    <s v="Financial Consultants"/>
    <n v="23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x v="0"/>
    <x v="0"/>
    <s v="Assured Returns"/>
    <s v="Risk Free"/>
    <s v="Newspapers and Magazines"/>
    <n v="23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x v="0"/>
    <x v="0"/>
    <s v="Safe Investment"/>
    <s v="Fixed Returns"/>
    <s v="Financial Consultants"/>
    <n v="23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x v="1"/>
    <x v="2"/>
    <s v="Assured Returns"/>
    <s v="Fixed Returns"/>
    <s v="Newspapers and Magazines"/>
    <n v="23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x v="1"/>
    <x v="0"/>
    <s v="Safe Investment"/>
    <s v="Fixed Returns"/>
    <s v="Financial Consultants"/>
    <n v="2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x v="0"/>
    <s v="Safe Investment"/>
    <s v="Fixed Returns"/>
    <s v="Newspapers and Magazines"/>
    <n v="23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x v="0"/>
    <s v="Safe Investment"/>
    <s v="High Interest Rates"/>
    <s v="Financial Consultants"/>
    <n v="23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x v="1"/>
    <s v="Assured Returns"/>
    <s v="Fixed Returns"/>
    <s v="Television"/>
    <n v="23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x v="2"/>
    <s v="Tax Incentives"/>
    <s v="High Interest Rates"/>
    <s v="Internet"/>
    <n v="2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x v="0"/>
    <s v="Safe Investment"/>
    <s v="Risk Free"/>
    <s v="Internet"/>
    <n v="2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x v="2"/>
    <s v="Safe Investment"/>
    <s v="Risk Free"/>
    <s v="Internet"/>
    <n v="2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x v="0"/>
    <s v="Assured Returns"/>
    <s v="High Interest Rates"/>
    <s v="Financial Consultants"/>
    <n v="23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x v="0"/>
    <s v="Assured Returns"/>
    <s v="Risk Free"/>
    <s v="Newspapers and Magazines"/>
    <n v="23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x v="2"/>
    <s v="Safe Investment"/>
    <s v="Fixed Returns"/>
    <s v="Television"/>
    <n v="23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x v="2"/>
    <s v="Assured Returns"/>
    <s v="Fixed Returns"/>
    <s v="Newspapers and Magazines"/>
    <n v="23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x v="0"/>
    <s v="Assured Returns"/>
    <s v="Risk Free"/>
    <s v="Financial Consultants"/>
    <n v="23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x v="2"/>
    <s v="Assured Returns"/>
    <s v="Fixed Returns"/>
    <s v="Financial Consultants"/>
    <n v="23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x v="0"/>
    <s v="Safe Investment"/>
    <s v="Risk Free"/>
    <s v="Internet"/>
    <n v="2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x v="2"/>
    <s v="Assured Returns"/>
    <s v="Risk Free"/>
    <s v="Newspapers and Magazines"/>
    <n v="23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x v="0"/>
    <s v="Assured Returns"/>
    <s v="Risk Free"/>
    <s v="Financial Consultants"/>
    <n v="23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x v="2"/>
    <s v="Assured Returns"/>
    <s v="Risk Free"/>
    <s v="Newspapers and Magazines"/>
    <n v="23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x v="2"/>
    <s v="Assured Returns"/>
    <s v="Risk Free"/>
    <s v="Television"/>
    <n v="23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x v="0"/>
    <s v="Assured Returns"/>
    <s v="Risk Free"/>
    <s v="Financial Consultants"/>
    <n v="23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x v="0"/>
    <s v="Assured Returns"/>
    <s v="Risk Free"/>
    <s v="Newspapers and Magazines"/>
    <n v="23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x v="2"/>
    <s v="Assured Returns"/>
    <s v="Risk Free"/>
    <s v="Newspapers and Magazines"/>
    <n v="23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x v="0"/>
    <s v="Assured Returns"/>
    <s v="Fixed Returns"/>
    <s v="Financial Consultants"/>
    <n v="23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x v="0"/>
    <s v="Assured Returns"/>
    <s v="Risk Free"/>
    <s v="Newspapers and Magazines"/>
    <n v="23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x v="0"/>
    <s v="Assured Returns"/>
    <s v="Risk Free"/>
    <s v="Financial Consultants"/>
    <n v="23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x v="0"/>
    <s v="Assured Returns"/>
    <s v="Risk Free"/>
    <s v="Financial Consultants"/>
    <n v="23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x v="0"/>
    <s v="Assured Returns"/>
    <s v="Risk Free"/>
    <s v="Newspapers and Magazines"/>
    <n v="23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x v="0"/>
    <s v="Assured Returns"/>
    <s v="Fixed Returns"/>
    <s v="Financial Consultants"/>
    <n v="23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x v="2"/>
    <s v="Assured Returns"/>
    <s v="Fixed Returns"/>
    <s v="Financial Consultants"/>
    <n v="23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x v="2"/>
    <s v="Safe Investment"/>
    <s v="Fixed Returns"/>
    <s v="Television"/>
    <n v="23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x v="0"/>
    <s v="Assured Returns"/>
    <s v="Risk Free"/>
    <s v="Television"/>
    <n v="23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x v="1"/>
    <s v="Safe Investment"/>
    <s v="Fixed Returns"/>
    <s v="Newspapers and Magazines"/>
    <n v="23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x v="1"/>
    <s v="Safe Investment"/>
    <s v="Fixed Returns"/>
    <s v="Television"/>
    <n v="23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x v="0"/>
    <s v="Assured Returns"/>
    <s v="Fixed Returns"/>
    <s v="Financial Consultants"/>
    <n v="23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x v="2"/>
    <s v="Assured Returns"/>
    <s v="Fixed Returns"/>
    <s v="Newspapers and Magazines"/>
    <n v="23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x v="0"/>
    <s v="Safe Investment"/>
    <s v="Risk Free"/>
    <s v="Newspapers and Magazines"/>
    <n v="23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x v="0"/>
    <s v="Safe Investment"/>
    <s v="Fixed Returns"/>
    <s v="Financial Consultants"/>
    <n v="23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x v="0"/>
    <s v="Assured Returns"/>
    <s v="Fixed Returns"/>
    <s v="Financial Consultants"/>
    <n v="23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x v="0"/>
    <s v="Assured Returns"/>
    <s v="Risk Free"/>
    <s v="Newspapers and Magazines"/>
    <n v="23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x v="0"/>
    <s v="Safe Investment"/>
    <s v="Fixed Returns"/>
    <s v="Financial Consultants"/>
    <n v="23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x v="2"/>
    <s v="Assured Returns"/>
    <s v="Fixed Returns"/>
    <s v="Newspapers and Magazines"/>
    <n v="23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x v="0"/>
    <s v="Safe Investment"/>
    <s v="Fixed Returns"/>
    <s v="Financial Consultants"/>
    <n v="2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x v="0"/>
    <s v="Fixed Returns"/>
    <s v="Newspapers and Magazines"/>
    <n v="23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x v="0"/>
    <s v="High Interest Rates"/>
    <s v="Financial Consultants"/>
    <n v="23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x v="1"/>
    <s v="Fixed Returns"/>
    <s v="Television"/>
    <n v="23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x v="2"/>
    <s v="High Interest Rates"/>
    <s v="Internet"/>
    <n v="2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x v="0"/>
    <s v="Risk Free"/>
    <s v="Internet"/>
    <n v="2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x v="0"/>
    <s v="Risk Free"/>
    <s v="Internet"/>
    <n v="2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x v="1"/>
    <s v="High Interest Rates"/>
    <s v="Financial Consultants"/>
    <n v="23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x v="1"/>
    <s v="Risk Free"/>
    <s v="Newspapers and Magazines"/>
    <n v="23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x v="0"/>
    <s v="Fixed Returns"/>
    <s v="Television"/>
    <n v="23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x v="1"/>
    <s v="Fixed Returns"/>
    <s v="Newspapers and Magazines"/>
    <n v="23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x v="1"/>
    <s v="Risk Free"/>
    <s v="Financial Consultants"/>
    <n v="23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x v="1"/>
    <s v="Fixed Returns"/>
    <s v="Financial Consultants"/>
    <n v="23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x v="0"/>
    <s v="Risk Free"/>
    <s v="Internet"/>
    <n v="2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x v="1"/>
    <s v="Risk Free"/>
    <s v="Newspapers and Magazines"/>
    <n v="23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x v="1"/>
    <s v="Risk Free"/>
    <s v="Financial Consultants"/>
    <n v="23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x v="1"/>
    <s v="Risk Free"/>
    <s v="Newspapers and Magazines"/>
    <n v="23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x v="1"/>
    <s v="Risk Free"/>
    <s v="Television"/>
    <n v="23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x v="1"/>
    <s v="Risk Free"/>
    <s v="Financial Consultants"/>
    <n v="23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x v="1"/>
    <s v="Risk Free"/>
    <s v="Newspapers and Magazines"/>
    <n v="23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x v="1"/>
    <s v="Risk Free"/>
    <s v="Newspapers and Magazines"/>
    <n v="23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x v="1"/>
    <s v="Fixed Returns"/>
    <s v="Financial Consultants"/>
    <n v="23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x v="1"/>
    <s v="Risk Free"/>
    <s v="Newspapers and Magazines"/>
    <n v="23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x v="1"/>
    <s v="Risk Free"/>
    <s v="Financial Consultants"/>
    <n v="23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x v="1"/>
    <s v="Risk Free"/>
    <s v="Financial Consultants"/>
    <n v="23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x v="1"/>
    <s v="Risk Free"/>
    <s v="Newspapers and Magazines"/>
    <n v="23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x v="1"/>
    <s v="Fixed Returns"/>
    <s v="Financial Consultants"/>
    <n v="23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x v="1"/>
    <s v="Fixed Returns"/>
    <s v="Financial Consultants"/>
    <n v="23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x v="0"/>
    <s v="Fixed Returns"/>
    <s v="Television"/>
    <n v="23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x v="1"/>
    <s v="Risk Free"/>
    <s v="Television"/>
    <n v="23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x v="0"/>
    <s v="Fixed Returns"/>
    <s v="Newspapers and Magazines"/>
    <n v="23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x v="0"/>
    <s v="Fixed Returns"/>
    <s v="Television"/>
    <n v="23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x v="1"/>
    <s v="Fixed Returns"/>
    <s v="Financial Consultants"/>
    <n v="23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x v="1"/>
    <s v="Fixed Returns"/>
    <s v="Newspapers and Magazines"/>
    <n v="23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x v="0"/>
    <s v="Risk Free"/>
    <s v="Newspapers and Magazines"/>
    <n v="23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x v="0"/>
    <s v="Fixed Returns"/>
    <s v="Financial Consultants"/>
    <n v="23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x v="1"/>
    <s v="Fixed Returns"/>
    <s v="Financial Consultants"/>
    <n v="23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x v="1"/>
    <s v="Risk Free"/>
    <s v="Newspapers and Magazines"/>
    <n v="23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x v="0"/>
    <s v="Fixed Returns"/>
    <s v="Financial Consultants"/>
    <n v="23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x v="1"/>
    <s v="Fixed Returns"/>
    <s v="Newspapers and Magazines"/>
    <n v="23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x v="0"/>
    <s v="Fixed Returns"/>
    <s v="Financial Consultants"/>
    <n v="2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x v="0"/>
    <s v="Newspapers and Magazines"/>
    <n v="23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x v="1"/>
    <s v="Financial Consultants"/>
    <n v="23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x v="0"/>
    <s v="Television"/>
    <n v="23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x v="1"/>
    <s v="Internet"/>
    <n v="23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x v="2"/>
    <s v="Internet"/>
    <n v="23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x v="2"/>
    <s v="Internet"/>
    <n v="2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x v="1"/>
    <s v="Financial Consultants"/>
    <n v="23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x v="2"/>
    <s v="Newspapers and Magazines"/>
    <n v="23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x v="0"/>
    <s v="Television"/>
    <n v="23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x v="0"/>
    <s v="Newspapers and Magazines"/>
    <n v="23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x v="2"/>
    <s v="Financial Consultants"/>
    <n v="23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x v="0"/>
    <s v="Financial Consultants"/>
    <n v="23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x v="2"/>
    <s v="Internet"/>
    <n v="23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x v="2"/>
    <s v="Newspapers and Magazines"/>
    <n v="23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x v="2"/>
    <s v="Financial Consultants"/>
    <n v="23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x v="2"/>
    <s v="Newspapers and Magazines"/>
    <n v="23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x v="2"/>
    <s v="Television"/>
    <n v="23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x v="2"/>
    <s v="Financial Consultants"/>
    <n v="23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x v="2"/>
    <s v="Newspapers and Magazines"/>
    <n v="23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x v="2"/>
    <s v="Newspapers and Magazines"/>
    <n v="23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x v="0"/>
    <s v="Financial Consultants"/>
    <n v="23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x v="2"/>
    <s v="Newspapers and Magazines"/>
    <n v="23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x v="2"/>
    <s v="Financial Consultants"/>
    <n v="23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x v="2"/>
    <s v="Financial Consultants"/>
    <n v="23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x v="2"/>
    <s v="Newspapers and Magazines"/>
    <n v="23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x v="0"/>
    <s v="Financial Consultants"/>
    <n v="23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x v="0"/>
    <s v="Financial Consultants"/>
    <n v="23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x v="0"/>
    <s v="Television"/>
    <n v="23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x v="2"/>
    <s v="Television"/>
    <n v="23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s v="Safe Investment"/>
    <x v="0"/>
    <s v="Newspapers and Magazines"/>
    <n v="23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x v="0"/>
    <s v="Television"/>
    <n v="23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x v="0"/>
    <s v="Financial Consultants"/>
    <n v="23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x v="0"/>
    <s v="Newspapers and Magazines"/>
    <n v="23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x v="2"/>
    <s v="Newspapers and Magazines"/>
    <n v="23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x v="0"/>
    <s v="Financial Consultants"/>
    <n v="23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x v="0"/>
    <s v="Financial Consultants"/>
    <n v="23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x v="2"/>
    <s v="Newspapers and Magazines"/>
    <n v="23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x v="0"/>
    <s v="Financial Consultants"/>
    <n v="23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s v="Assured Returns"/>
    <x v="0"/>
    <s v="Newspapers and Magazines"/>
    <n v="23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x v="0"/>
    <s v="Financial Consultants"/>
    <n v="2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s v="Better Returns"/>
    <s v="Safe Investment"/>
    <s v="Fixed Returns"/>
    <x v="0"/>
    <x v="0"/>
    <x v="0"/>
    <n v="30"/>
  </r>
  <r>
    <x v="1"/>
    <s v="Better Returns"/>
    <s v="Safe Investment"/>
    <s v="High Interest Rates"/>
    <x v="0"/>
    <x v="1"/>
    <x v="1"/>
    <n v="8"/>
  </r>
  <r>
    <x v="0"/>
    <s v="Tax Benefits"/>
    <s v="Assured Returns"/>
    <s v="Fixed Returns"/>
    <x v="0"/>
    <x v="2"/>
    <x v="2"/>
    <n v="2"/>
  </r>
  <r>
    <x v="1"/>
    <s v="Fund Diversification"/>
    <s v="Tax Incentives"/>
    <s v="High Interest Rates"/>
    <x v="1"/>
    <x v="3"/>
    <x v="0"/>
    <n v="24"/>
  </r>
  <r>
    <x v="0"/>
    <s v="Better Returns"/>
    <s v="Safe Investment"/>
    <s v="Risk Free"/>
    <x v="1"/>
    <x v="4"/>
    <x v="3"/>
    <n v="13"/>
  </r>
  <r>
    <x v="2"/>
    <s v="Fund Diversification"/>
    <s v="Safe Investment"/>
    <s v="Risk Free"/>
    <x v="1"/>
    <x v="5"/>
    <x v="4"/>
    <n v="3"/>
  </r>
  <r>
    <x v="0"/>
    <s v="Better Returns"/>
    <s v="Assured Returns"/>
    <s v="High Interest Rates"/>
    <x v="2"/>
    <x v="6"/>
    <x v="4"/>
    <n v="26"/>
  </r>
  <r>
    <x v="0"/>
    <s v="Better Returns"/>
    <s v="Assured Returns"/>
    <s v="Risk Free"/>
    <x v="2"/>
    <x v="7"/>
    <x v="1"/>
    <n v="13"/>
  </r>
  <r>
    <x v="0"/>
    <s v="Fund Diversification"/>
    <s v="Safe Investment"/>
    <s v="Fixed Returns"/>
    <x v="2"/>
    <x v="8"/>
    <x v="3"/>
    <n v="1"/>
  </r>
  <r>
    <x v="0"/>
    <s v="Fund Diversification"/>
    <s v="Assured Returns"/>
    <s v="Fixed Returns"/>
    <x v="3"/>
    <x v="9"/>
    <x v="1"/>
    <n v="18"/>
  </r>
  <r>
    <x v="0"/>
    <s v="Better Returns"/>
    <s v="Assured Returns"/>
    <s v="Risk Free"/>
    <x v="3"/>
    <x v="10"/>
    <x v="0"/>
    <n v="3"/>
  </r>
  <r>
    <x v="0"/>
    <s v="Fund Diversification"/>
    <s v="Assured Returns"/>
    <s v="Fixed Returns"/>
    <x v="3"/>
    <x v="11"/>
    <x v="4"/>
    <n v="19"/>
  </r>
  <r>
    <x v="1"/>
    <s v="Better Returns"/>
    <s v="Safe Investment"/>
    <s v="Risk Free"/>
    <x v="4"/>
    <x v="12"/>
    <x v="5"/>
    <m/>
  </r>
  <r>
    <x v="0"/>
    <s v="Fund Diversification"/>
    <s v="Assured Returns"/>
    <s v="Risk Free"/>
    <x v="4"/>
    <x v="12"/>
    <x v="5"/>
    <m/>
  </r>
  <r>
    <x v="1"/>
    <s v="Better Returns"/>
    <s v="Assured Returns"/>
    <s v="Risk Free"/>
    <x v="4"/>
    <x v="12"/>
    <x v="5"/>
    <m/>
  </r>
  <r>
    <x v="0"/>
    <s v="Fund Diversification"/>
    <s v="Assured Returns"/>
    <s v="Risk Free"/>
    <x v="4"/>
    <x v="12"/>
    <x v="5"/>
    <m/>
  </r>
  <r>
    <x v="0"/>
    <s v="Fund Diversification"/>
    <s v="Assured Returns"/>
    <s v="Risk Free"/>
    <x v="4"/>
    <x v="12"/>
    <x v="5"/>
    <m/>
  </r>
  <r>
    <x v="0"/>
    <s v="Better Returns"/>
    <s v="Assured Returns"/>
    <s v="Risk Free"/>
    <x v="4"/>
    <x v="12"/>
    <x v="5"/>
    <m/>
  </r>
  <r>
    <x v="0"/>
    <s v="Better Returns"/>
    <s v="Assured Returns"/>
    <s v="Risk Free"/>
    <x v="4"/>
    <x v="12"/>
    <x v="5"/>
    <m/>
  </r>
  <r>
    <x v="0"/>
    <s v="Fund Diversification"/>
    <s v="Assured Returns"/>
    <s v="Risk Free"/>
    <x v="4"/>
    <x v="12"/>
    <x v="5"/>
    <m/>
  </r>
  <r>
    <x v="0"/>
    <s v="Better Returns"/>
    <s v="Assured Returns"/>
    <s v="Fixed Returns"/>
    <x v="4"/>
    <x v="12"/>
    <x v="5"/>
    <m/>
  </r>
  <r>
    <x v="0"/>
    <s v="Better Returns"/>
    <s v="Assured Returns"/>
    <s v="Risk Free"/>
    <x v="4"/>
    <x v="12"/>
    <x v="5"/>
    <m/>
  </r>
  <r>
    <x v="0"/>
    <s v="Better Returns"/>
    <s v="Assured Returns"/>
    <s v="Risk Free"/>
    <x v="4"/>
    <x v="12"/>
    <x v="5"/>
    <m/>
  </r>
  <r>
    <x v="2"/>
    <s v="Better Returns"/>
    <s v="Assured Returns"/>
    <s v="Risk Free"/>
    <x v="4"/>
    <x v="12"/>
    <x v="5"/>
    <m/>
  </r>
  <r>
    <x v="0"/>
    <s v="Better Returns"/>
    <s v="Assured Returns"/>
    <s v="Risk Free"/>
    <x v="4"/>
    <x v="12"/>
    <x v="5"/>
    <m/>
  </r>
  <r>
    <x v="0"/>
    <s v="Better Returns"/>
    <s v="Assured Returns"/>
    <s v="Fixed Returns"/>
    <x v="4"/>
    <x v="12"/>
    <x v="5"/>
    <m/>
  </r>
  <r>
    <x v="1"/>
    <s v="Fund Diversification"/>
    <s v="Assured Returns"/>
    <s v="Fixed Returns"/>
    <x v="4"/>
    <x v="12"/>
    <x v="5"/>
    <m/>
  </r>
  <r>
    <x v="0"/>
    <s v="Fund Diversification"/>
    <s v="Safe Investment"/>
    <s v="Fixed Returns"/>
    <x v="4"/>
    <x v="12"/>
    <x v="5"/>
    <m/>
  </r>
  <r>
    <x v="0"/>
    <s v="Better Returns"/>
    <s v="Assured Returns"/>
    <s v="Risk Free"/>
    <x v="4"/>
    <x v="12"/>
    <x v="5"/>
    <m/>
  </r>
  <r>
    <x v="0"/>
    <s v="Tax Benefits"/>
    <s v="Safe Investment"/>
    <s v="Fixed Returns"/>
    <x v="4"/>
    <x v="12"/>
    <x v="5"/>
    <m/>
  </r>
  <r>
    <x v="0"/>
    <s v="Tax Benefits"/>
    <s v="Safe Investment"/>
    <s v="Fixed Returns"/>
    <x v="4"/>
    <x v="12"/>
    <x v="5"/>
    <m/>
  </r>
  <r>
    <x v="0"/>
    <s v="Better Returns"/>
    <s v="Assured Returns"/>
    <s v="Fixed Returns"/>
    <x v="4"/>
    <x v="12"/>
    <x v="5"/>
    <m/>
  </r>
  <r>
    <x v="0"/>
    <s v="Fund Diversification"/>
    <s v="Assured Returns"/>
    <s v="Fixed Returns"/>
    <x v="4"/>
    <x v="12"/>
    <x v="5"/>
    <m/>
  </r>
  <r>
    <x v="1"/>
    <s v="Better Returns"/>
    <s v="Safe Investment"/>
    <s v="Risk Free"/>
    <x v="4"/>
    <x v="12"/>
    <x v="5"/>
    <m/>
  </r>
  <r>
    <x v="0"/>
    <s v="Better Returns"/>
    <s v="Safe Investment"/>
    <s v="Fixed Returns"/>
    <x v="4"/>
    <x v="12"/>
    <x v="5"/>
    <m/>
  </r>
  <r>
    <x v="0"/>
    <s v="Better Returns"/>
    <s v="Assured Returns"/>
    <s v="Fixed Returns"/>
    <x v="4"/>
    <x v="12"/>
    <x v="5"/>
    <m/>
  </r>
  <r>
    <x v="0"/>
    <s v="Better Returns"/>
    <s v="Assured Returns"/>
    <s v="Risk Free"/>
    <x v="4"/>
    <x v="12"/>
    <x v="5"/>
    <m/>
  </r>
  <r>
    <x v="0"/>
    <s v="Better Returns"/>
    <s v="Safe Investment"/>
    <s v="Fixed Returns"/>
    <x v="4"/>
    <x v="12"/>
    <x v="5"/>
    <m/>
  </r>
  <r>
    <x v="1"/>
    <s v="Fund Diversification"/>
    <s v="Assured Returns"/>
    <s v="Fixed Returns"/>
    <x v="4"/>
    <x v="12"/>
    <x v="5"/>
    <m/>
  </r>
  <r>
    <x v="1"/>
    <s v="Better Returns"/>
    <s v="Safe Investment"/>
    <s v="Fixed Returns"/>
    <x v="4"/>
    <x v="12"/>
    <x v="5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Safe Investment"/>
    <s v="Fixed Returns"/>
    <s v="Newspapers and Magazines"/>
    <s v=" 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x v="1"/>
    <s v="Dividend"/>
    <s v="Better Returns"/>
    <s v="Safe Investment"/>
    <s v="High Interest Rates"/>
    <s v="Financial Consultants"/>
    <n v="0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x v="0"/>
    <s v="Capital Appreciation"/>
    <s v="Tax Benefits"/>
    <s v="Assured Returns"/>
    <s v="Fixed Returns"/>
    <s v="Television"/>
    <n v="1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x v="0"/>
    <s v="Dividend"/>
    <s v="Fund Diversification"/>
    <s v="Tax Incentives"/>
    <s v="High Interest Rates"/>
    <s v="Internet"/>
    <n v="1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x v="0"/>
    <s v="Capital Appreciation"/>
    <s v="Better Returns"/>
    <s v="Safe Investment"/>
    <s v="Risk Free"/>
    <s v="Internet"/>
    <n v="0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x v="0"/>
    <s v="Liquidity"/>
    <s v="Fund Diversification"/>
    <s v="Safe Investment"/>
    <s v="Risk Free"/>
    <s v="Internet"/>
    <n v="0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x v="0"/>
    <s v="Capital Appreciation"/>
    <s v="Better Returns"/>
    <s v="Assured Returns"/>
    <s v="High Interest Rates"/>
    <s v="Financial Consultants"/>
    <n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s v="Newspapers and Magazines"/>
    <n v="1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x v="0"/>
    <s v="Capital Appreciation"/>
    <s v="Fund Diversification"/>
    <s v="Safe Investment"/>
    <s v="Fixed Returns"/>
    <s v="Television"/>
    <n v="1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x v="0"/>
    <s v="Capital Appreciation"/>
    <s v="Fund Diversification"/>
    <s v="Assured Returns"/>
    <s v="Fixed Returns"/>
    <s v="Newspapers and Magazines"/>
    <n v="1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x v="0"/>
    <s v="Capital Appreciation"/>
    <s v="Better Returns"/>
    <s v="Assured Returns"/>
    <s v="Risk Free"/>
    <s v="Financial Consultants"/>
    <n v="1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x v="0"/>
    <s v="Capital Appreciation"/>
    <s v="Fund Diversification"/>
    <s v="Assured Returns"/>
    <s v="Fixed Returns"/>
    <s v="Financial Consultants"/>
    <n v="1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x v="2"/>
    <s v="Dividend"/>
    <s v="Better Returns"/>
    <s v="Safe Investment"/>
    <s v="Risk Free"/>
    <s v="Internet"/>
    <n v="0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Fund Diversification"/>
    <s v="Assured Returns"/>
    <s v="Risk Free"/>
    <s v="Newspapers and Magazines"/>
    <n v="1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x v="1"/>
    <s v="Dividend"/>
    <s v="Better Returns"/>
    <s v="Assured Returns"/>
    <s v="Risk Free"/>
    <s v="Financial Consultants"/>
    <n v="1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x v="1"/>
    <s v="Capital Appreciation"/>
    <s v="Fund Diversification"/>
    <s v="Assured Returns"/>
    <s v="Risk Free"/>
    <s v="Newspapers and Magazines"/>
    <n v="1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x v="1"/>
    <s v="Capital Appreciation"/>
    <s v="Fund Diversification"/>
    <s v="Assured Returns"/>
    <s v="Risk Free"/>
    <s v="Television"/>
    <n v="1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s v="Financial Consultants"/>
    <n v="1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x v="0"/>
    <s v="Capital Appreciation"/>
    <s v="Better Returns"/>
    <s v="Assured Returns"/>
    <s v="Risk Free"/>
    <s v="Newspapers and Magazines"/>
    <n v="1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x v="1"/>
    <s v="Capital Appreciation"/>
    <s v="Fund Diversification"/>
    <s v="Assured Returns"/>
    <s v="Risk Free"/>
    <s v="Newspapers and Magazines"/>
    <n v="1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x v="0"/>
    <s v="Capital Appreciation"/>
    <s v="Better Returns"/>
    <s v="Assured Returns"/>
    <s v="Fixed Returns"/>
    <s v="Financial Consultants"/>
    <n v="1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x v="1"/>
    <s v="Capital Appreciation"/>
    <s v="Better Returns"/>
    <s v="Assured Returns"/>
    <s v="Risk Free"/>
    <s v="Newspapers and Magazines"/>
    <n v="1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x v="0"/>
    <s v="Capital Appreciation"/>
    <s v="Better Returns"/>
    <s v="Assured Returns"/>
    <s v="Risk Free"/>
    <s v="Financial Consultants"/>
    <n v="1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x v="1"/>
    <s v="Liquidity"/>
    <s v="Better Returns"/>
    <s v="Assured Returns"/>
    <s v="Risk Free"/>
    <s v="Financial Consultants"/>
    <n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x v="0"/>
    <s v="Capital Appreciation"/>
    <s v="Better Returns"/>
    <s v="Assured Returns"/>
    <s v="Risk Free"/>
    <s v="Newspapers and Magazines"/>
    <n v="1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x v="0"/>
    <s v="Capital Appreciation"/>
    <s v="Better Returns"/>
    <s v="Assured Returns"/>
    <s v="Fixed Returns"/>
    <s v="Financial Consultants"/>
    <n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x v="0"/>
    <s v="Dividend"/>
    <s v="Fund Diversification"/>
    <s v="Assured Returns"/>
    <s v="Fixed Returns"/>
    <s v="Financial Consultants"/>
    <n v="1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x v="1"/>
    <s v="Capital Appreciation"/>
    <s v="Fund Diversification"/>
    <s v="Safe Investment"/>
    <s v="Fixed Returns"/>
    <s v="Television"/>
    <n v="1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s v="Television"/>
    <n v="1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x v="0"/>
    <s v="Capital Appreciation"/>
    <s v="Tax Benefits"/>
    <s v="Safe Investment"/>
    <s v="Fixed Returns"/>
    <s v="Newspapers and Magazines"/>
    <n v="1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x v="2"/>
    <s v="Capital Appreciation"/>
    <s v="Tax Benefits"/>
    <s v="Safe Investment"/>
    <s v="Fixed Returns"/>
    <s v="Television"/>
    <n v="0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x v="0"/>
    <s v="Capital Appreciation"/>
    <s v="Better Returns"/>
    <s v="Assured Returns"/>
    <s v="Fixed Returns"/>
    <s v="Financial Consultants"/>
    <n v="1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x v="1"/>
    <s v="Capital Appreciation"/>
    <s v="Fund Diversification"/>
    <s v="Assured Returns"/>
    <s v="Fixed Returns"/>
    <s v="Newspapers and Magazines"/>
    <n v="1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x v="2"/>
    <s v="Dividend"/>
    <s v="Better Returns"/>
    <s v="Safe Investment"/>
    <s v="Risk Free"/>
    <s v="Newspapers and Magazines"/>
    <n v="1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x v="1"/>
    <s v="Capital Appreciation"/>
    <s v="Better Returns"/>
    <s v="Safe Investment"/>
    <s v="Fixed Returns"/>
    <s v="Financial Consultants"/>
    <n v="1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x v="1"/>
    <s v="Capital Appreciation"/>
    <s v="Better Returns"/>
    <s v="Assured Returns"/>
    <s v="Fixed Returns"/>
    <s v="Financial Consultants"/>
    <n v="1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x v="0"/>
    <s v="Capital Appreciation"/>
    <s v="Better Returns"/>
    <s v="Assured Returns"/>
    <s v="Risk Free"/>
    <s v="Newspapers and Magazines"/>
    <n v="1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x v="1"/>
    <s v="Capital Appreciation"/>
    <s v="Better Returns"/>
    <s v="Safe Investment"/>
    <s v="Fixed Returns"/>
    <s v="Financial Consultants"/>
    <n v="1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x v="1"/>
    <s v="Dividend"/>
    <s v="Fund Diversification"/>
    <s v="Assured Returns"/>
    <s v="Fixed Returns"/>
    <s v="Newspapers and Magazines"/>
    <n v="1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x v="0"/>
    <s v="Dividend"/>
    <s v="Better Returns"/>
    <s v="Safe Investment"/>
    <s v="Fixed Returns"/>
    <s v="Financial Consultants"/>
    <n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s v="Fixed Returns"/>
    <x v="0"/>
    <s v=" 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s v="High Interest Rates"/>
    <x v="1"/>
    <n v="0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s v="Fixed Returns"/>
    <x v="2"/>
    <n v="1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s v="High Interest Rates"/>
    <x v="3"/>
    <n v="1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s v="Risk Free"/>
    <x v="3"/>
    <n v="0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s v="Risk Free"/>
    <x v="3"/>
    <n v="0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s v="High Interest Rates"/>
    <x v="1"/>
    <n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x v="0"/>
    <n v="1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s v="Fixed Returns"/>
    <x v="2"/>
    <n v="1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x v="0"/>
    <n v="1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s v="Risk Free"/>
    <x v="1"/>
    <n v="1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x v="1"/>
    <n v="1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s v="Risk Free"/>
    <x v="3"/>
    <n v="0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Risk Free"/>
    <x v="0"/>
    <n v="1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s v="Risk Free"/>
    <x v="1"/>
    <n v="1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s v="Risk Free"/>
    <x v="0"/>
    <n v="1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s v="Risk Free"/>
    <x v="2"/>
    <n v="1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x v="1"/>
    <n v="1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x v="0"/>
    <n v="1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s v="Risk Free"/>
    <x v="0"/>
    <n v="1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s v="Fixed Returns"/>
    <x v="1"/>
    <n v="1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s v="Risk Free"/>
    <x v="0"/>
    <n v="1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x v="1"/>
    <n v="1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s v="Risk Free"/>
    <x v="1"/>
    <n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x v="0"/>
    <n v="1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s v="Fixed Returns"/>
    <x v="1"/>
    <n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s v="Fixed Returns"/>
    <x v="1"/>
    <n v="1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x v="2"/>
    <n v="1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x v="2"/>
    <n v="1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s v="Safe Investment"/>
    <s v="Fixed Returns"/>
    <x v="0"/>
    <n v="1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s v="Fixed Returns"/>
    <x v="2"/>
    <n v="0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s v="Fixed Returns"/>
    <x v="1"/>
    <n v="1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s v="Fixed Returns"/>
    <x v="0"/>
    <n v="1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s v="Risk Free"/>
    <x v="0"/>
    <n v="1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s v="Fixed Returns"/>
    <x v="1"/>
    <n v="1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s v="Fixed Returns"/>
    <x v="1"/>
    <n v="1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x v="0"/>
    <n v="1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x v="1"/>
    <n v="1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s v="Assured Returns"/>
    <s v="Fixed Returns"/>
    <x v="0"/>
    <n v="1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s v="Fixed Returns"/>
    <x v="1"/>
    <n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x v="0"/>
    <s v="Mutual Fund"/>
    <s v="Retirement Plan"/>
    <s v="Capital Appreciation"/>
    <s v="Better Returns"/>
    <s v="Safe Investment"/>
    <s v="Fixed Returns"/>
    <s v="Newspapers and Magazines"/>
    <s v=" 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x v="0"/>
    <s v="Mutual Fund"/>
    <s v="Health Care"/>
    <s v="Dividend"/>
    <s v="Better Returns"/>
    <s v="Safe Investment"/>
    <s v="High Interest Rates"/>
    <s v="Financial Consultants"/>
    <n v="0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x v="0"/>
    <s v="Equity"/>
    <s v="Retirement Plan"/>
    <s v="Capital Appreciation"/>
    <s v="Tax Benefits"/>
    <s v="Assured Returns"/>
    <s v="Fixed Returns"/>
    <s v="Television"/>
    <n v="1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x v="1"/>
    <s v="Equity"/>
    <s v="Retirement Plan"/>
    <s v="Dividend"/>
    <s v="Fund Diversification"/>
    <s v="Tax Incentives"/>
    <s v="High Interest Rates"/>
    <s v="Internet"/>
    <n v="1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x v="0"/>
    <s v="Equity"/>
    <s v="Retirement Plan"/>
    <s v="Capital Appreciation"/>
    <s v="Better Returns"/>
    <s v="Safe Investment"/>
    <s v="Risk Free"/>
    <s v="Internet"/>
    <n v="0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x v="2"/>
    <s v="Mutual Fund"/>
    <s v="Retirement Plan"/>
    <s v="Liquidity"/>
    <s v="Fund Diversification"/>
    <s v="Safe Investment"/>
    <s v="Risk Free"/>
    <s v="Internet"/>
    <n v="0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x v="0"/>
    <s v="Equity"/>
    <s v="Retirement Plan"/>
    <s v="Capital Appreciation"/>
    <s v="Better Returns"/>
    <s v="Assured Returns"/>
    <s v="High Interest Rates"/>
    <s v="Financial Consultants"/>
    <n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x v="0"/>
    <s v="Mutual Fund"/>
    <s v="Retirement Plan"/>
    <s v="Capital Appreciation"/>
    <s v="Better Returns"/>
    <s v="Assured Returns"/>
    <s v="Risk Free"/>
    <s v="Newspapers and Magazines"/>
    <n v="1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x v="0"/>
    <s v="Equity"/>
    <s v="Retirement Plan"/>
    <s v="Capital Appreciation"/>
    <s v="Fund Diversification"/>
    <s v="Safe Investment"/>
    <s v="Fixed Returns"/>
    <s v="Television"/>
    <n v="1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x v="2"/>
    <s v="Fixed Deposits"/>
    <s v="Retirement Plan"/>
    <s v="Capital Appreciation"/>
    <s v="Fund Diversification"/>
    <s v="Assured Returns"/>
    <s v="Fixed Returns"/>
    <s v="Newspapers and Magazines"/>
    <n v="1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x v="0"/>
    <s v="Mutual Fund"/>
    <s v="Retirement Plan"/>
    <s v="Capital Appreciation"/>
    <s v="Better Returns"/>
    <s v="Assured Returns"/>
    <s v="Risk Free"/>
    <s v="Financial Consultants"/>
    <n v="1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x v="0"/>
    <s v="Mutual Fund"/>
    <s v="Retirement Plan"/>
    <s v="Capital Appreciation"/>
    <s v="Fund Diversification"/>
    <s v="Assured Returns"/>
    <s v="Fixed Returns"/>
    <s v="Financial Consultants"/>
    <n v="1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x v="0"/>
    <s v="Mutual Fund"/>
    <s v="Education"/>
    <s v="Dividend"/>
    <s v="Better Returns"/>
    <s v="Safe Investment"/>
    <s v="Risk Free"/>
    <s v="Internet"/>
    <n v="0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x v="0"/>
    <s v="Mutual Fund"/>
    <s v="Retirement Plan"/>
    <s v="Capital Appreciation"/>
    <s v="Fund Diversification"/>
    <s v="Assured Returns"/>
    <s v="Risk Free"/>
    <s v="Newspapers and Magazines"/>
    <n v="1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x v="0"/>
    <s v="Fixed Deposits"/>
    <s v="Health Care"/>
    <s v="Dividend"/>
    <s v="Better Returns"/>
    <s v="Assured Returns"/>
    <s v="Risk Free"/>
    <s v="Financial Consultants"/>
    <n v="1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x v="0"/>
    <s v="Mutual Fund"/>
    <s v="Health Care"/>
    <s v="Capital Appreciation"/>
    <s v="Fund Diversification"/>
    <s v="Assured Returns"/>
    <s v="Risk Free"/>
    <s v="Newspapers and Magazines"/>
    <n v="1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x v="0"/>
    <s v="Fixed Deposits"/>
    <s v="Health Care"/>
    <s v="Capital Appreciation"/>
    <s v="Fund Diversification"/>
    <s v="Assured Returns"/>
    <s v="Risk Free"/>
    <s v="Television"/>
    <n v="1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x v="0"/>
    <s v="Mutual Fund"/>
    <s v="Retirement Plan"/>
    <s v="Capital Appreciation"/>
    <s v="Better Returns"/>
    <s v="Assured Returns"/>
    <s v="Risk Free"/>
    <s v="Financial Consultants"/>
    <n v="1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x v="0"/>
    <s v="Mutual Fund"/>
    <s v="Retirement Plan"/>
    <s v="Capital Appreciation"/>
    <s v="Better Returns"/>
    <s v="Assured Returns"/>
    <s v="Risk Free"/>
    <s v="Newspapers and Magazines"/>
    <n v="1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x v="0"/>
    <s v="Fixed Deposits"/>
    <s v="Health Care"/>
    <s v="Capital Appreciation"/>
    <s v="Fund Diversification"/>
    <s v="Assured Returns"/>
    <s v="Risk Free"/>
    <s v="Newspapers and Magazines"/>
    <n v="1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x v="0"/>
    <s v="Mutual Fund"/>
    <s v="Retirement Plan"/>
    <s v="Capital Appreciation"/>
    <s v="Better Returns"/>
    <s v="Assured Returns"/>
    <s v="Fixed Returns"/>
    <s v="Financial Consultants"/>
    <n v="1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x v="0"/>
    <s v="Equity"/>
    <s v="Health Care"/>
    <s v="Capital Appreciation"/>
    <s v="Better Returns"/>
    <s v="Assured Returns"/>
    <s v="Risk Free"/>
    <s v="Newspapers and Magazines"/>
    <n v="1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x v="0"/>
    <s v="Mutual Fund"/>
    <s v="Retirement Plan"/>
    <s v="Capital Appreciation"/>
    <s v="Better Returns"/>
    <s v="Assured Returns"/>
    <s v="Risk Free"/>
    <s v="Financial Consultants"/>
    <n v="1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x v="0"/>
    <s v="Public Provident Fund"/>
    <s v="Health Care"/>
    <s v="Liquidity"/>
    <s v="Better Returns"/>
    <s v="Assured Returns"/>
    <s v="Risk Free"/>
    <s v="Financial Consultants"/>
    <n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x v="2"/>
    <s v="Public Provident Fund"/>
    <s v="Retirement Plan"/>
    <s v="Capital Appreciation"/>
    <s v="Better Returns"/>
    <s v="Assured Returns"/>
    <s v="Risk Free"/>
    <s v="Newspapers and Magazines"/>
    <n v="1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x v="0"/>
    <s v="Mutual Fund"/>
    <s v="Retirement Plan"/>
    <s v="Capital Appreciation"/>
    <s v="Better Returns"/>
    <s v="Assured Returns"/>
    <s v="Fixed Returns"/>
    <s v="Financial Consultants"/>
    <n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x v="0"/>
    <s v="Mutual Fund"/>
    <s v="Retirement Plan"/>
    <s v="Dividend"/>
    <s v="Fund Diversification"/>
    <s v="Assured Returns"/>
    <s v="Fixed Returns"/>
    <s v="Financial Consultants"/>
    <n v="1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x v="0"/>
    <s v="Fixed Deposits"/>
    <s v="Health Care"/>
    <s v="Capital Appreciation"/>
    <s v="Fund Diversification"/>
    <s v="Safe Investment"/>
    <s v="Fixed Returns"/>
    <s v="Television"/>
    <n v="1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x v="0"/>
    <s v="Equity"/>
    <s v="Retirement Plan"/>
    <s v="Capital Appreciation"/>
    <s v="Better Returns"/>
    <s v="Assured Returns"/>
    <s v="Risk Free"/>
    <s v="Television"/>
    <n v="1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x v="1"/>
    <s v="Mutual Fund"/>
    <s v="Retirement Plan"/>
    <s v="Capital Appreciation"/>
    <s v="Tax Benefits"/>
    <s v="Safe Investment"/>
    <s v="Fixed Returns"/>
    <s v="Newspapers and Magazines"/>
    <n v="1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x v="1"/>
    <s v="Mutual Fund"/>
    <s v="Education"/>
    <s v="Capital Appreciation"/>
    <s v="Tax Benefits"/>
    <s v="Safe Investment"/>
    <s v="Fixed Returns"/>
    <s v="Television"/>
    <n v="0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x v="0"/>
    <s v="Fixed Deposits"/>
    <s v="Retirement Plan"/>
    <s v="Capital Appreciation"/>
    <s v="Better Returns"/>
    <s v="Assured Returns"/>
    <s v="Fixed Returns"/>
    <s v="Financial Consultants"/>
    <n v="1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x v="2"/>
    <s v="Equity"/>
    <s v="Health Care"/>
    <s v="Capital Appreciation"/>
    <s v="Fund Diversification"/>
    <s v="Assured Returns"/>
    <s v="Fixed Returns"/>
    <s v="Newspapers and Magazines"/>
    <n v="1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x v="0"/>
    <s v="Fixed Deposits"/>
    <s v="Education"/>
    <s v="Dividend"/>
    <s v="Better Returns"/>
    <s v="Safe Investment"/>
    <s v="Risk Free"/>
    <s v="Newspapers and Magazines"/>
    <n v="1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x v="0"/>
    <s v="Mutual Fund"/>
    <s v="Health Care"/>
    <s v="Capital Appreciation"/>
    <s v="Better Returns"/>
    <s v="Safe Investment"/>
    <s v="Fixed Returns"/>
    <s v="Financial Consultants"/>
    <n v="1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x v="0"/>
    <s v="Fixed Deposits"/>
    <s v="Health Care"/>
    <s v="Capital Appreciation"/>
    <s v="Better Returns"/>
    <s v="Assured Returns"/>
    <s v="Fixed Returns"/>
    <s v="Financial Consultants"/>
    <n v="1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x v="0"/>
    <s v="Equity"/>
    <s v="Retirement Plan"/>
    <s v="Capital Appreciation"/>
    <s v="Better Returns"/>
    <s v="Assured Returns"/>
    <s v="Risk Free"/>
    <s v="Newspapers and Magazines"/>
    <n v="1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x v="2"/>
    <s v="Public Provident Fund"/>
    <s v="Health Care"/>
    <s v="Capital Appreciation"/>
    <s v="Better Returns"/>
    <s v="Safe Investment"/>
    <s v="Fixed Returns"/>
    <s v="Financial Consultants"/>
    <n v="1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x v="0"/>
    <s v="Equity"/>
    <s v="Health Care"/>
    <s v="Dividend"/>
    <s v="Fund Diversification"/>
    <s v="Assured Returns"/>
    <s v="Fixed Returns"/>
    <s v="Newspapers and Magazines"/>
    <n v="1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x v="0"/>
    <s v="Fixed Deposits"/>
    <s v="Retirement Plan"/>
    <s v="Dividend"/>
    <s v="Better Returns"/>
    <s v="Safe Investment"/>
    <s v="Fixed Returns"/>
    <s v="Financial Consultant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EF056-8058-4293-ACB3-6532423859F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15ED5-CA56-4AFD-982B-3DBC8A05311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J6" firstHeaderRow="0" firstDataRow="1" firstDataCol="1"/>
  <pivotFields count="25">
    <pivotField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7">
        <item x="0"/>
        <item x="3"/>
        <item x="2"/>
        <item x="1"/>
        <item x="5"/>
        <item x="4"/>
        <item t="default"/>
      </items>
    </pivotField>
    <pivotField dataField="1" showAll="0">
      <items count="7">
        <item x="3"/>
        <item x="0"/>
        <item x="1"/>
        <item x="5"/>
        <item x="4"/>
        <item x="2"/>
        <item t="default"/>
      </items>
    </pivotField>
    <pivotField dataField="1" showAll="0">
      <items count="8">
        <item x="6"/>
        <item x="1"/>
        <item x="3"/>
        <item x="2"/>
        <item x="0"/>
        <item x="5"/>
        <item x="4"/>
        <item t="default"/>
      </items>
    </pivotField>
    <pivotField dataField="1" showAll="0">
      <items count="8">
        <item x="1"/>
        <item x="2"/>
        <item x="0"/>
        <item x="5"/>
        <item x="6"/>
        <item x="4"/>
        <item x="3"/>
        <item t="default"/>
      </items>
    </pivotField>
    <pivotField dataField="1" showAll="0">
      <items count="8">
        <item x="5"/>
        <item x="6"/>
        <item x="4"/>
        <item x="3"/>
        <item x="1"/>
        <item x="2"/>
        <item x="0"/>
        <item t="default"/>
      </items>
    </pivotField>
    <pivotField dataField="1" showAll="0">
      <items count="7">
        <item x="1"/>
        <item x="4"/>
        <item x="5"/>
        <item x="2"/>
        <item x="3"/>
        <item x="0"/>
        <item t="default"/>
      </items>
    </pivotField>
    <pivotField dataField="1" showAll="0">
      <items count="7">
        <item x="3"/>
        <item x="5"/>
        <item x="0"/>
        <item x="2"/>
        <item x="4"/>
        <item x="1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Stock_Marktet" fld="10" subtotal="count" baseField="0" baseItem="0"/>
    <dataField name="Sum of Mutual_Funds" fld="3" baseField="0" baseItem="0"/>
    <dataField name="Sum of Equity_Market" fld="4" baseField="0" baseItem="0"/>
    <dataField name="Sum of Debentures" fld="5" baseField="0" baseItem="0"/>
    <dataField name="Sum of Government_Bonds" fld="6" baseField="0" baseItem="0"/>
    <dataField name="Sum of Fixed_Deposits" fld="7" baseField="0" baseItem="0"/>
    <dataField name="Sum of PPF" fld="8" baseField="0" baseItem="0"/>
    <dataField name="Sum of Gold" fld="9" baseField="0" baseItem="0"/>
    <dataField name="Sum of Count" fld="24" baseField="0" baseItem="0"/>
  </dataFields>
  <chartFormats count="27">
    <chartFormat chart="2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2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3"/>
          </reference>
          <reference field="2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3"/>
          </reference>
          <reference field="2" count="1" selected="0">
            <x v="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4"/>
          </reference>
          <reference field="2" count="1" selected="0">
            <x v="0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4"/>
          </reference>
          <reference field="2" count="1" selected="0">
            <x v="1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5"/>
          </reference>
          <reference field="2" count="1" selected="0">
            <x v="0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5"/>
          </reference>
          <reference field="2" count="1" selected="0">
            <x v="1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6"/>
          </reference>
          <reference field="2" count="1" selected="0">
            <x v="0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6"/>
          </reference>
          <reference field="2" count="1" selected="0">
            <x v="1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7"/>
          </reference>
          <reference field="2" count="1" selected="0">
            <x v="0"/>
          </reference>
        </references>
      </pivotArea>
    </chartFormat>
    <chartFormat chart="2" format="45">
      <pivotArea type="data" outline="0" fieldPosition="0">
        <references count="2">
          <reference field="4294967294" count="1" selected="0">
            <x v="7"/>
          </reference>
          <reference field="2" count="1" selected="0">
            <x v="1"/>
          </reference>
        </references>
      </pivotArea>
    </chartFormat>
    <chartFormat chart="2" format="46">
      <pivotArea type="data" outline="0" fieldPosition="0">
        <references count="2">
          <reference field="4294967294" count="1" selected="0">
            <x v="8"/>
          </reference>
          <reference field="2" count="1" selected="0">
            <x v="0"/>
          </reference>
        </references>
      </pivotArea>
    </chartFormat>
    <chartFormat chart="2" format="47">
      <pivotArea type="data" outline="0" fieldPosition="0">
        <references count="2">
          <reference field="4294967294" count="1" selected="0">
            <x v="8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572DC-90E8-4DA2-A84C-BDB3C250A8B9}" name="PivotTable4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:B15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Mutual" fld="2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AA763-F195-455A-8298-3467FE0ACCB2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Equity" fld="19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3295E-9E51-4070-A81B-E93328F32C74}" name="PivotTable5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7:B31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FD" fld="2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B66D8-790E-4A44-8609-1CDE3FE3F4BF}" name="PivotTable5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9:B23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ason_Bonds" fld="2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5BEE0-7BF9-455A-B475-EDF9E7216ADE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K23" firstHeaderRow="1" firstDataRow="2" firstDataCol="1"/>
  <pivotFields count="8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6">
        <item x="2"/>
        <item x="0"/>
        <item x="3"/>
        <item x="1"/>
        <item x="4"/>
        <item t="default"/>
      </items>
    </pivotField>
    <pivotField axis="axisRow" showAll="0">
      <items count="14">
        <item x="7"/>
        <item x="3"/>
        <item x="0"/>
        <item x="1"/>
        <item x="9"/>
        <item x="5"/>
        <item x="10"/>
        <item x="2"/>
        <item x="11"/>
        <item x="6"/>
        <item x="4"/>
        <item x="8"/>
        <item x="12"/>
        <item t="default"/>
      </items>
    </pivotField>
    <pivotField axis="axisRow" showAll="0">
      <items count="7">
        <item sd="0" x="0"/>
        <item sd="0" x="1"/>
        <item sd="0" x="2"/>
        <item sd="0" x="4"/>
        <item sd="0" x="3"/>
        <item h="1" sd="0" x="5"/>
        <item t="default"/>
      </items>
    </pivotField>
    <pivotField dataField="1" showAll="0"/>
  </pivotFields>
  <rowFields count="2">
    <field x="6"/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4E768-5815-4785-AB67-AAD1948459B0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are your savings objectives?" fld="18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4329D-2EB6-4412-927B-8FAD0C14E529}" name="PivotTable1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chartFormats count="5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9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F08CD-3185-49F0-9A20-EF33B2DDDA4C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D11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AE348-6CB5-41F1-835E-F6662B4435A9}" name="Table1" displayName="Table1" ref="A1:X41" totalsRowShown="0">
  <autoFilter ref="A1:X41" xr:uid="{A6DAE348-6CB5-41F1-835E-F6662B4435A9}"/>
  <tableColumns count="24">
    <tableColumn id="1" xr3:uid="{FBC130EB-BE03-493E-BE15-8DAB0254F26A}" name="gender"/>
    <tableColumn id="2" xr3:uid="{5C382194-87A1-4D9E-BAD0-A6FC58BBE19A}" name="age"/>
    <tableColumn id="3" xr3:uid="{44E30926-CD6F-4E85-B43E-3B9D3659975D}" name="Investment_Avenues"/>
    <tableColumn id="4" xr3:uid="{C2FE4501-DE47-49F4-B3D8-6BC3B95E7F26}" name="Mutual_Funds"/>
    <tableColumn id="5" xr3:uid="{17FE7A75-1020-4AD1-A8DD-CCFDBA006869}" name="Equity_Market"/>
    <tableColumn id="6" xr3:uid="{D96D2911-D244-42FA-A59E-8EA6711864B0}" name="Debentures"/>
    <tableColumn id="7" xr3:uid="{F6580E14-06CC-45A1-B581-84160BC19447}" name="Government_Bonds"/>
    <tableColumn id="8" xr3:uid="{5344EC36-1785-434B-8441-78CF0CFBC423}" name="Fixed_Deposits"/>
    <tableColumn id="9" xr3:uid="{41691E64-90C7-48D3-9076-03CF8EAB4491}" name="PPF"/>
    <tableColumn id="10" xr3:uid="{0E003F32-374D-45DD-AEAE-B623401350D1}" name="Gold"/>
    <tableColumn id="11" xr3:uid="{E2D4EA48-A345-4EF0-8670-860EC651D2F4}" name="Stock_Marktet"/>
    <tableColumn id="12" xr3:uid="{5091531A-8A71-44DD-B1FD-101E1D1937D7}" name="Factor"/>
    <tableColumn id="13" xr3:uid="{61B49140-DBFE-473E-B5ED-79A09C2C4D09}" name="Objective"/>
    <tableColumn id="14" xr3:uid="{3EFA63A5-0C81-4E6B-9C28-5175767AA4BE}" name="Purpose"/>
    <tableColumn id="15" xr3:uid="{6FB2548D-AE51-44A2-9F9C-13654490B3E7}" name="Duration"/>
    <tableColumn id="16" xr3:uid="{F92C235B-986A-4CC3-9020-73CEA9D789BC}" name="Invest_Monitor"/>
    <tableColumn id="17" xr3:uid="{13A1FE5C-561A-4A69-AC97-41FF9B72A847}" name="Expect"/>
    <tableColumn id="18" xr3:uid="{B81C2668-3DE2-48CC-B000-B206CE8DFEE6}" name="Avenue"/>
    <tableColumn id="19" xr3:uid="{047600DD-65D4-4394-8630-814661378085}" name="What are your savings objectives?"/>
    <tableColumn id="20" xr3:uid="{E2154B4A-A3FC-489E-8DCA-636EBBBA39A3}" name="Reason_Equity"/>
    <tableColumn id="21" xr3:uid="{53192CE7-5478-4B59-B25F-826B4D4BF0FB}" name="Reason_Mutual"/>
    <tableColumn id="22" xr3:uid="{94DE7294-FB03-4EDF-B1CF-15EFF5B274D1}" name="Reason_Bonds"/>
    <tableColumn id="23" xr3:uid="{DA38F292-C165-40FA-92E0-448305A3AF75}" name="Reason_FD"/>
    <tableColumn id="24" xr3:uid="{4EA22DB3-26C3-4472-B333-01390A2C597A}" name="Source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A3D15E-975F-4DD0-AF50-54B043502FF0}" name="Table7" displayName="Table7" ref="L1:U1048576" totalsRowShown="0">
  <autoFilter ref="L1:U1048576" xr:uid="{45A3D15E-975F-4DD0-AF50-54B043502FF0}"/>
  <tableColumns count="10">
    <tableColumn id="1" xr3:uid="{A7A6A94B-4F2D-4803-BF94-5496256F4549}" name="Stock_Marktet"/>
    <tableColumn id="2" xr3:uid="{AE8B4025-B5D3-4A96-9EF9-20307E9B4769}" name="stock market"/>
    <tableColumn id="3" xr3:uid="{42ABBB5B-E27E-4B57-AAC8-A44FF26A5505}" name="Mutual_Funds"/>
    <tableColumn id="4" xr3:uid="{CAF79627-3E34-407B-9CDD-488B5BF2CE84}" name="Equity_Market"/>
    <tableColumn id="5" xr3:uid="{02D1EFCC-BAAE-4FE0-9405-78687A6B485A}" name="Debentures"/>
    <tableColumn id="6" xr3:uid="{DEAB49FF-C558-41F1-929E-6C21F43DE23C}" name="Government_Bonds"/>
    <tableColumn id="7" xr3:uid="{D851CF31-6AA5-44C6-AF91-1CD1056A2655}" name="Fixed_Deposits"/>
    <tableColumn id="8" xr3:uid="{93540133-AE6E-4A59-966F-68BC31028B49}" name="PPF"/>
    <tableColumn id="9" xr3:uid="{6B223285-803B-4543-B6E3-0A4EDC6DC93D}" name="Gold"/>
    <tableColumn id="10" xr3:uid="{3B45D930-6EE4-4593-8C3E-34DB263C214C}" name="Investment_Avenues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2E56F0-C85A-40E0-992F-85F97E0B44CF}" name="Table5" displayName="Table5" ref="A1:D41" totalsRowShown="0">
  <autoFilter ref="A1:D41" xr:uid="{212E56F0-C85A-40E0-992F-85F97E0B44CF}"/>
  <tableColumns count="4">
    <tableColumn id="1" xr3:uid="{EE0EC2D8-97E3-4AC0-84A2-927A0CDFC4AB}" name="Reason_Equity"/>
    <tableColumn id="2" xr3:uid="{F0B57605-588F-43D4-970B-ED64679359E7}" name="Reason_Mutual"/>
    <tableColumn id="3" xr3:uid="{AA279779-355C-41C7-A29C-9D4251266BA4}" name="Reason_Bonds"/>
    <tableColumn id="4" xr3:uid="{C5290053-3DA9-47AF-943F-809F43F0B604}" name="Reason_F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FD4146-C15D-420E-AA72-37EC3960E875}" name="Table10" displayName="Table10" ref="A1:C42" totalsRowShown="0">
  <autoFilter ref="A1:C42" xr:uid="{66FD4146-C15D-420E-AA72-37EC3960E875}"/>
  <tableColumns count="3">
    <tableColumn id="1" xr3:uid="{2D4A8DC2-7543-4999-AD4B-79BEBFEA0B9D}" name="Duration"/>
    <tableColumn id="2" xr3:uid="{A0A427EF-346B-4D6D-9D53-DD3D1FC0DBBA}" name="Investment Monitor"/>
    <tableColumn id="3" xr3:uid="{1E8A1BE2-25D2-421E-AE7B-D56F679D5A83}" name="Investment Duration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75026-6277-44C8-8E55-8F3E6860E342}" name="Table2" displayName="Table2" ref="C1:F4" totalsRowShown="0">
  <autoFilter ref="C1:F4" xr:uid="{93675026-6277-44C8-8E55-8F3E6860E342}"/>
  <tableColumns count="4">
    <tableColumn id="1" xr3:uid="{F4BFDCE3-31E6-4714-85EF-FD1764B503A8}" name="Expectation"/>
    <tableColumn id="2" xr3:uid="{BA793C21-9469-453A-BC65-1C8E39852910}" name="Percentage range"/>
    <tableColumn id="3" xr3:uid="{91FED098-B1C4-4F8E-85C3-97371CFC84D3}" name="count"/>
    <tableColumn id="4" xr3:uid="{F42B363A-D227-4128-9E78-3E14C0E22D5C}" name="summary sentence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BCF661-4EE3-4DFD-B692-2571DA48A36D}" name="Table11" displayName="Table11" ref="A1:A1048576" totalsRowShown="0">
  <autoFilter ref="A1:A1048576" xr:uid="{7ABCF661-4EE3-4DFD-B692-2571DA48A36D}"/>
  <tableColumns count="1">
    <tableColumn id="1" xr3:uid="{30D88DC7-1761-49AC-BAD4-A81795530CB6}" name="Column1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7EEE39-3300-4690-B1CC-462A9BAB9981}" name="Table8" displayName="Table8" ref="A1:A1048576" totalsRowShown="0">
  <autoFilter ref="A1:A1048576" xr:uid="{407EEE39-3300-4690-B1CC-462A9BAB9981}"/>
  <tableColumns count="1">
    <tableColumn id="1" xr3:uid="{E7BD2222-4DA5-4D4D-B6A0-AD7D2814CF0F}" name="age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18E5D7-1FC4-47F2-A32E-DDC3F5606DE2}" name="Table367810" displayName="Table367810" ref="C1:C41" totalsRowShown="0">
  <autoFilter ref="C1:C41" xr:uid="{3118E5D7-1FC4-47F2-A32E-DDC3F5606DE2}"/>
  <tableColumns count="1">
    <tableColumn id="2" xr3:uid="{616C23C3-D5C0-41AC-B34B-39C26286AC08}" name="Investment Duration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2784A7C-66EE-48E6-BB87-FD423F75F730}" name="Table12" displayName="Table12" ref="B1:B41" totalsRowShown="0">
  <autoFilter ref="B1:B41" xr:uid="{42784A7C-66EE-48E6-BB87-FD423F75F730}"/>
  <tableColumns count="1">
    <tableColumn id="1" xr3:uid="{B35A31AC-A3E8-406B-8A2F-AABDECC4C7C5}" name="Expectation return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65A9-A2AB-4AEA-81D5-CFB69C161473}">
  <dimension ref="A1:X41"/>
  <sheetViews>
    <sheetView workbookViewId="0">
      <selection activeCell="L7" sqref="L7"/>
    </sheetView>
  </sheetViews>
  <sheetFormatPr defaultRowHeight="14.4" x14ac:dyDescent="0.3"/>
  <cols>
    <col min="3" max="3" width="19.77734375" customWidth="1"/>
    <col min="4" max="4" width="14.33203125" customWidth="1"/>
    <col min="5" max="5" width="14.77734375" customWidth="1"/>
    <col min="6" max="6" width="12.21875" customWidth="1"/>
    <col min="7" max="7" width="19" customWidth="1"/>
    <col min="8" max="8" width="15.109375" customWidth="1"/>
    <col min="11" max="11" width="14.88671875" customWidth="1"/>
    <col min="13" max="13" width="10.5546875" customWidth="1"/>
    <col min="14" max="14" width="15" customWidth="1"/>
    <col min="15" max="15" width="17.33203125" customWidth="1"/>
    <col min="16" max="16" width="15.44140625" customWidth="1"/>
    <col min="19" max="19" width="30.33203125" customWidth="1"/>
    <col min="20" max="20" width="14.88671875" customWidth="1"/>
    <col min="21" max="21" width="15.6640625" customWidth="1"/>
    <col min="22" max="22" width="14.88671875" customWidth="1"/>
    <col min="23" max="23" width="12" customWidth="1"/>
    <col min="24" max="24" width="25.109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D9E4-FA1D-421B-B99C-64C732728412}">
  <dimension ref="A3:B6"/>
  <sheetViews>
    <sheetView workbookViewId="0">
      <selection activeCell="H23" sqref="H23"/>
    </sheetView>
  </sheetViews>
  <sheetFormatPr defaultRowHeight="14.4" x14ac:dyDescent="0.3"/>
  <cols>
    <col min="1" max="1" width="23.33203125" customWidth="1"/>
    <col min="2" max="2" width="24.88671875" customWidth="1"/>
  </cols>
  <sheetData>
    <row r="3" spans="1:2" x14ac:dyDescent="0.3">
      <c r="A3" s="3" t="s">
        <v>81</v>
      </c>
      <c r="B3" t="s">
        <v>82</v>
      </c>
    </row>
    <row r="4" spans="1:2" x14ac:dyDescent="0.3">
      <c r="A4" s="4" t="s">
        <v>24</v>
      </c>
      <c r="B4">
        <v>15</v>
      </c>
    </row>
    <row r="5" spans="1:2" x14ac:dyDescent="0.3">
      <c r="A5" s="4" t="s">
        <v>46</v>
      </c>
      <c r="B5">
        <v>25</v>
      </c>
    </row>
    <row r="6" spans="1:2" x14ac:dyDescent="0.3">
      <c r="A6" s="4" t="s">
        <v>83</v>
      </c>
      <c r="B6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D204-DCF3-4E94-866E-1241BD5BD256}">
  <dimension ref="A1:Y41"/>
  <sheetViews>
    <sheetView workbookViewId="0">
      <selection sqref="A1:H41"/>
    </sheetView>
  </sheetViews>
  <sheetFormatPr defaultRowHeight="14.4" x14ac:dyDescent="0.3"/>
  <cols>
    <col min="1" max="1" width="8.88671875" customWidth="1"/>
    <col min="2" max="2" width="14.33203125" customWidth="1"/>
    <col min="3" max="3" width="14.77734375" customWidth="1"/>
    <col min="4" max="4" width="12.21875" customWidth="1"/>
    <col min="5" max="5" width="19" customWidth="1"/>
    <col min="6" max="6" width="15.109375" customWidth="1"/>
    <col min="10" max="10" width="18.5546875" customWidth="1"/>
    <col min="11" max="11" width="15.109375" customWidth="1"/>
    <col min="12" max="12" width="15.44140625" customWidth="1"/>
    <col min="13" max="13" width="15.5546875" customWidth="1"/>
    <col min="14" max="14" width="15.33203125" customWidth="1"/>
    <col min="15" max="15" width="15.88671875" customWidth="1"/>
    <col min="16" max="16" width="16.33203125" customWidth="1"/>
    <col min="17" max="17" width="13.5546875" customWidth="1"/>
    <col min="18" max="18" width="16.44140625" customWidth="1"/>
    <col min="19" max="19" width="14.21875" customWidth="1"/>
    <col min="20" max="20" width="15.109375" customWidth="1"/>
    <col min="21" max="22" width="15.5546875" customWidth="1"/>
    <col min="23" max="23" width="14.6640625" customWidth="1"/>
    <col min="24" max="24" width="15.44140625" customWidth="1"/>
    <col min="25" max="25" width="13.6640625" customWidth="1"/>
  </cols>
  <sheetData>
    <row r="1" spans="1:25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J1" s="2" t="s">
        <v>1</v>
      </c>
      <c r="K1" s="2"/>
      <c r="L1" s="2" t="s">
        <v>3</v>
      </c>
      <c r="M1" s="2"/>
      <c r="N1" s="2" t="s">
        <v>4</v>
      </c>
      <c r="O1" s="2"/>
      <c r="P1" s="2" t="s">
        <v>5</v>
      </c>
      <c r="Q1" s="2"/>
      <c r="R1" s="2" t="s">
        <v>6</v>
      </c>
      <c r="S1" s="2"/>
      <c r="T1" s="2" t="s">
        <v>7</v>
      </c>
      <c r="U1" s="2"/>
      <c r="V1" s="2" t="s">
        <v>8</v>
      </c>
      <c r="W1" s="2"/>
      <c r="X1" s="2" t="s">
        <v>9</v>
      </c>
      <c r="Y1" s="2"/>
    </row>
    <row r="2" spans="1:25" x14ac:dyDescent="0.3">
      <c r="A2">
        <v>34</v>
      </c>
      <c r="B2">
        <v>1</v>
      </c>
      <c r="C2">
        <v>2</v>
      </c>
      <c r="D2">
        <v>5</v>
      </c>
      <c r="E2">
        <v>3</v>
      </c>
      <c r="F2">
        <v>7</v>
      </c>
      <c r="G2">
        <v>6</v>
      </c>
      <c r="H2">
        <v>4</v>
      </c>
    </row>
    <row r="3" spans="1:25" x14ac:dyDescent="0.3">
      <c r="A3">
        <v>23</v>
      </c>
      <c r="B3">
        <v>4</v>
      </c>
      <c r="C3">
        <v>3</v>
      </c>
      <c r="D3">
        <v>2</v>
      </c>
      <c r="E3">
        <v>1</v>
      </c>
      <c r="F3">
        <v>5</v>
      </c>
      <c r="G3">
        <v>6</v>
      </c>
      <c r="H3">
        <v>7</v>
      </c>
      <c r="J3" t="s">
        <v>68</v>
      </c>
      <c r="K3">
        <v>27.8</v>
      </c>
      <c r="L3" t="s">
        <v>68</v>
      </c>
      <c r="M3">
        <v>2.5499999999999998</v>
      </c>
      <c r="N3" t="s">
        <v>68</v>
      </c>
      <c r="O3">
        <v>3.4750000000000001</v>
      </c>
      <c r="P3" t="s">
        <v>68</v>
      </c>
      <c r="Q3">
        <v>5.75</v>
      </c>
      <c r="R3" t="s">
        <v>68</v>
      </c>
      <c r="S3">
        <v>4.6500000000000004</v>
      </c>
      <c r="T3" t="s">
        <v>68</v>
      </c>
      <c r="U3">
        <v>3.5750000000000002</v>
      </c>
      <c r="V3" t="s">
        <v>68</v>
      </c>
      <c r="W3">
        <v>2.0249999999999999</v>
      </c>
      <c r="X3" t="s">
        <v>68</v>
      </c>
      <c r="Y3">
        <v>5.9749999999999996</v>
      </c>
    </row>
    <row r="4" spans="1:25" x14ac:dyDescent="0.3">
      <c r="A4">
        <v>30</v>
      </c>
      <c r="B4">
        <v>3</v>
      </c>
      <c r="C4">
        <v>6</v>
      </c>
      <c r="D4">
        <v>4</v>
      </c>
      <c r="E4">
        <v>2</v>
      </c>
      <c r="F4">
        <v>5</v>
      </c>
      <c r="G4">
        <v>1</v>
      </c>
      <c r="H4">
        <v>7</v>
      </c>
      <c r="J4" t="s">
        <v>69</v>
      </c>
      <c r="K4">
        <v>0.56295921426252338</v>
      </c>
      <c r="L4" t="s">
        <v>69</v>
      </c>
      <c r="M4">
        <v>0.18929694486000906</v>
      </c>
      <c r="N4" t="s">
        <v>69</v>
      </c>
      <c r="O4">
        <v>0.17898395573418424</v>
      </c>
      <c r="P4" t="s">
        <v>69</v>
      </c>
      <c r="Q4">
        <v>0.26493830921991568</v>
      </c>
      <c r="R4" t="s">
        <v>69</v>
      </c>
      <c r="S4">
        <v>0.216469338149712</v>
      </c>
      <c r="T4" t="s">
        <v>69</v>
      </c>
      <c r="U4">
        <v>0.2839454172900136</v>
      </c>
      <c r="V4" t="s">
        <v>69</v>
      </c>
      <c r="W4">
        <v>0.25441612390444929</v>
      </c>
      <c r="X4" t="s">
        <v>69</v>
      </c>
      <c r="Y4">
        <v>0.18076582102621608</v>
      </c>
    </row>
    <row r="5" spans="1:25" x14ac:dyDescent="0.3">
      <c r="A5">
        <v>22</v>
      </c>
      <c r="B5">
        <v>2</v>
      </c>
      <c r="C5">
        <v>1</v>
      </c>
      <c r="D5">
        <v>3</v>
      </c>
      <c r="E5">
        <v>7</v>
      </c>
      <c r="F5">
        <v>6</v>
      </c>
      <c r="G5">
        <v>4</v>
      </c>
      <c r="H5">
        <v>5</v>
      </c>
      <c r="J5" t="s">
        <v>70</v>
      </c>
      <c r="K5">
        <v>27</v>
      </c>
      <c r="L5" t="s">
        <v>70</v>
      </c>
      <c r="M5">
        <v>2</v>
      </c>
      <c r="N5" t="s">
        <v>70</v>
      </c>
      <c r="O5">
        <v>4</v>
      </c>
      <c r="P5" t="s">
        <v>70</v>
      </c>
      <c r="Q5">
        <v>6.5</v>
      </c>
      <c r="R5" t="s">
        <v>70</v>
      </c>
      <c r="S5">
        <v>5</v>
      </c>
      <c r="T5" t="s">
        <v>70</v>
      </c>
      <c r="U5">
        <v>3.5</v>
      </c>
      <c r="V5" t="s">
        <v>70</v>
      </c>
      <c r="W5">
        <v>1</v>
      </c>
      <c r="X5" t="s">
        <v>70</v>
      </c>
      <c r="Y5">
        <v>6</v>
      </c>
    </row>
    <row r="6" spans="1:25" x14ac:dyDescent="0.3">
      <c r="A6">
        <v>24</v>
      </c>
      <c r="B6">
        <v>2</v>
      </c>
      <c r="C6">
        <v>1</v>
      </c>
      <c r="D6">
        <v>3</v>
      </c>
      <c r="E6">
        <v>6</v>
      </c>
      <c r="F6">
        <v>4</v>
      </c>
      <c r="G6">
        <v>5</v>
      </c>
      <c r="H6">
        <v>7</v>
      </c>
      <c r="J6" t="s">
        <v>71</v>
      </c>
      <c r="K6">
        <v>27</v>
      </c>
      <c r="L6" t="s">
        <v>71</v>
      </c>
      <c r="M6">
        <v>2</v>
      </c>
      <c r="N6" t="s">
        <v>71</v>
      </c>
      <c r="O6">
        <v>4</v>
      </c>
      <c r="P6" t="s">
        <v>71</v>
      </c>
      <c r="Q6">
        <v>7</v>
      </c>
      <c r="R6" t="s">
        <v>71</v>
      </c>
      <c r="S6">
        <v>5</v>
      </c>
      <c r="T6" t="s">
        <v>71</v>
      </c>
      <c r="U6">
        <v>3</v>
      </c>
      <c r="V6" t="s">
        <v>71</v>
      </c>
      <c r="W6">
        <v>1</v>
      </c>
      <c r="X6" t="s">
        <v>71</v>
      </c>
      <c r="Y6">
        <v>6</v>
      </c>
    </row>
    <row r="7" spans="1:25" x14ac:dyDescent="0.3">
      <c r="A7">
        <v>24</v>
      </c>
      <c r="B7">
        <v>7</v>
      </c>
      <c r="C7">
        <v>5</v>
      </c>
      <c r="D7">
        <v>4</v>
      </c>
      <c r="E7">
        <v>6</v>
      </c>
      <c r="F7">
        <v>3</v>
      </c>
      <c r="G7">
        <v>1</v>
      </c>
      <c r="H7">
        <v>2</v>
      </c>
      <c r="J7" t="s">
        <v>72</v>
      </c>
      <c r="K7">
        <v>3.560466693696644</v>
      </c>
      <c r="L7" t="s">
        <v>72</v>
      </c>
      <c r="M7">
        <v>1.1972189997378644</v>
      </c>
      <c r="N7" t="s">
        <v>72</v>
      </c>
      <c r="O7">
        <v>1.1319939294935539</v>
      </c>
      <c r="P7" t="s">
        <v>72</v>
      </c>
      <c r="Q7">
        <v>1.6756169931378433</v>
      </c>
      <c r="R7" t="s">
        <v>72</v>
      </c>
      <c r="S7">
        <v>1.3690723042845381</v>
      </c>
      <c r="T7" t="s">
        <v>72</v>
      </c>
      <c r="U7">
        <v>1.7958284996067968</v>
      </c>
      <c r="V7" t="s">
        <v>72</v>
      </c>
      <c r="W7">
        <v>1.6090688500193409</v>
      </c>
      <c r="X7" t="s">
        <v>72</v>
      </c>
      <c r="Y7">
        <v>1.1432634351063973</v>
      </c>
    </row>
    <row r="8" spans="1:25" x14ac:dyDescent="0.3">
      <c r="A8">
        <v>27</v>
      </c>
      <c r="B8">
        <v>3</v>
      </c>
      <c r="C8">
        <v>6</v>
      </c>
      <c r="D8">
        <v>4</v>
      </c>
      <c r="E8">
        <v>2</v>
      </c>
      <c r="F8">
        <v>5</v>
      </c>
      <c r="G8">
        <v>1</v>
      </c>
      <c r="H8">
        <v>7</v>
      </c>
      <c r="J8" t="s">
        <v>73</v>
      </c>
      <c r="K8">
        <v>12.676923076923114</v>
      </c>
      <c r="L8" t="s">
        <v>73</v>
      </c>
      <c r="M8">
        <v>1.4333333333333327</v>
      </c>
      <c r="N8" t="s">
        <v>73</v>
      </c>
      <c r="O8">
        <v>1.281410256410257</v>
      </c>
      <c r="P8" t="s">
        <v>73</v>
      </c>
      <c r="Q8">
        <v>2.8076923076923075</v>
      </c>
      <c r="R8" t="s">
        <v>73</v>
      </c>
      <c r="S8">
        <v>1.874358974358975</v>
      </c>
      <c r="T8" t="s">
        <v>73</v>
      </c>
      <c r="U8">
        <v>3.2249999999999992</v>
      </c>
      <c r="V8" t="s">
        <v>73</v>
      </c>
      <c r="W8">
        <v>2.5891025641025638</v>
      </c>
      <c r="X8" t="s">
        <v>73</v>
      </c>
      <c r="Y8">
        <v>1.3070512820512796</v>
      </c>
    </row>
    <row r="9" spans="1:25" x14ac:dyDescent="0.3">
      <c r="A9">
        <v>21</v>
      </c>
      <c r="B9">
        <v>2</v>
      </c>
      <c r="C9">
        <v>3</v>
      </c>
      <c r="D9">
        <v>7</v>
      </c>
      <c r="E9">
        <v>4</v>
      </c>
      <c r="F9">
        <v>6</v>
      </c>
      <c r="G9">
        <v>1</v>
      </c>
      <c r="H9">
        <v>5</v>
      </c>
      <c r="J9" t="s">
        <v>74</v>
      </c>
      <c r="K9">
        <v>-0.2797662871656672</v>
      </c>
      <c r="L9" t="s">
        <v>74</v>
      </c>
      <c r="M9">
        <v>4.0749198234040716</v>
      </c>
      <c r="N9" t="s">
        <v>74</v>
      </c>
      <c r="O9">
        <v>0.36223387873990243</v>
      </c>
      <c r="P9" t="s">
        <v>74</v>
      </c>
      <c r="Q9">
        <v>0.59993908635403725</v>
      </c>
      <c r="R9" t="s">
        <v>74</v>
      </c>
      <c r="S9">
        <v>0.73815746369063406</v>
      </c>
      <c r="T9" t="s">
        <v>74</v>
      </c>
      <c r="U9">
        <v>-0.71388309810216288</v>
      </c>
      <c r="V9" t="s">
        <v>74</v>
      </c>
      <c r="W9">
        <v>1.0613578994518371</v>
      </c>
      <c r="X9" t="s">
        <v>74</v>
      </c>
      <c r="Y9">
        <v>3.363314877612376</v>
      </c>
    </row>
    <row r="10" spans="1:25" x14ac:dyDescent="0.3">
      <c r="A10">
        <v>35</v>
      </c>
      <c r="B10">
        <v>2</v>
      </c>
      <c r="C10">
        <v>4</v>
      </c>
      <c r="D10">
        <v>7</v>
      </c>
      <c r="E10">
        <v>5</v>
      </c>
      <c r="F10">
        <v>3</v>
      </c>
      <c r="G10">
        <v>1</v>
      </c>
      <c r="H10">
        <v>6</v>
      </c>
      <c r="J10" t="s">
        <v>75</v>
      </c>
      <c r="K10">
        <v>0.16561819823671556</v>
      </c>
      <c r="L10" t="s">
        <v>75</v>
      </c>
      <c r="M10">
        <v>1.7161511756401648</v>
      </c>
      <c r="N10" t="s">
        <v>75</v>
      </c>
      <c r="O10">
        <v>-4.6541094861560627E-2</v>
      </c>
      <c r="P10" t="s">
        <v>75</v>
      </c>
      <c r="Q10">
        <v>-1.2693190523913103</v>
      </c>
      <c r="R10" t="s">
        <v>75</v>
      </c>
      <c r="S10">
        <v>-0.89960343450703084</v>
      </c>
      <c r="T10" t="s">
        <v>75</v>
      </c>
      <c r="U10">
        <v>0.12319015099020848</v>
      </c>
      <c r="V10" t="s">
        <v>75</v>
      </c>
      <c r="W10">
        <v>1.5122987688345668</v>
      </c>
      <c r="X10" t="s">
        <v>75</v>
      </c>
      <c r="Y10">
        <v>-1.6829765870141669</v>
      </c>
    </row>
    <row r="11" spans="1:25" x14ac:dyDescent="0.3">
      <c r="A11">
        <v>31</v>
      </c>
      <c r="B11">
        <v>1</v>
      </c>
      <c r="C11">
        <v>3</v>
      </c>
      <c r="D11">
        <v>7</v>
      </c>
      <c r="E11">
        <v>4</v>
      </c>
      <c r="F11">
        <v>5</v>
      </c>
      <c r="G11">
        <v>2</v>
      </c>
      <c r="H11">
        <v>6</v>
      </c>
      <c r="J11" t="s">
        <v>76</v>
      </c>
      <c r="K11">
        <v>14</v>
      </c>
      <c r="L11" t="s">
        <v>76</v>
      </c>
      <c r="M11">
        <v>6</v>
      </c>
      <c r="N11" t="s">
        <v>76</v>
      </c>
      <c r="O11">
        <v>5</v>
      </c>
      <c r="P11" t="s">
        <v>76</v>
      </c>
      <c r="Q11">
        <v>6</v>
      </c>
      <c r="R11" t="s">
        <v>76</v>
      </c>
      <c r="S11">
        <v>6</v>
      </c>
      <c r="T11" t="s">
        <v>76</v>
      </c>
      <c r="U11">
        <v>6</v>
      </c>
      <c r="V11" t="s">
        <v>76</v>
      </c>
      <c r="W11">
        <v>5</v>
      </c>
      <c r="X11" t="s">
        <v>76</v>
      </c>
      <c r="Y11">
        <v>5</v>
      </c>
    </row>
    <row r="12" spans="1:25" x14ac:dyDescent="0.3">
      <c r="A12">
        <v>35</v>
      </c>
      <c r="B12">
        <v>2</v>
      </c>
      <c r="C12">
        <v>4</v>
      </c>
      <c r="D12">
        <v>7</v>
      </c>
      <c r="E12">
        <v>5</v>
      </c>
      <c r="F12">
        <v>3</v>
      </c>
      <c r="G12">
        <v>1</v>
      </c>
      <c r="H12">
        <v>6</v>
      </c>
      <c r="J12" t="s">
        <v>77</v>
      </c>
      <c r="K12">
        <v>21</v>
      </c>
      <c r="L12" t="s">
        <v>77</v>
      </c>
      <c r="M12">
        <v>1</v>
      </c>
      <c r="N12" t="s">
        <v>77</v>
      </c>
      <c r="O12">
        <v>1</v>
      </c>
      <c r="P12" t="s">
        <v>77</v>
      </c>
      <c r="Q12">
        <v>1</v>
      </c>
      <c r="R12" t="s">
        <v>77</v>
      </c>
      <c r="S12">
        <v>1</v>
      </c>
      <c r="T12" t="s">
        <v>77</v>
      </c>
      <c r="U12">
        <v>1</v>
      </c>
      <c r="V12" t="s">
        <v>77</v>
      </c>
      <c r="W12">
        <v>1</v>
      </c>
      <c r="X12" t="s">
        <v>77</v>
      </c>
      <c r="Y12">
        <v>2</v>
      </c>
    </row>
    <row r="13" spans="1:25" x14ac:dyDescent="0.3">
      <c r="A13">
        <v>29</v>
      </c>
      <c r="B13">
        <v>2</v>
      </c>
      <c r="C13">
        <v>5</v>
      </c>
      <c r="D13">
        <v>7</v>
      </c>
      <c r="E13">
        <v>6</v>
      </c>
      <c r="F13">
        <v>3</v>
      </c>
      <c r="G13">
        <v>1</v>
      </c>
      <c r="H13">
        <v>4</v>
      </c>
      <c r="J13" t="s">
        <v>78</v>
      </c>
      <c r="K13">
        <v>35</v>
      </c>
      <c r="L13" t="s">
        <v>78</v>
      </c>
      <c r="M13">
        <v>7</v>
      </c>
      <c r="N13" t="s">
        <v>78</v>
      </c>
      <c r="O13">
        <v>6</v>
      </c>
      <c r="P13" t="s">
        <v>78</v>
      </c>
      <c r="Q13">
        <v>7</v>
      </c>
      <c r="R13" t="s">
        <v>78</v>
      </c>
      <c r="S13">
        <v>7</v>
      </c>
      <c r="T13" t="s">
        <v>78</v>
      </c>
      <c r="U13">
        <v>7</v>
      </c>
      <c r="V13" t="s">
        <v>78</v>
      </c>
      <c r="W13">
        <v>6</v>
      </c>
      <c r="X13" t="s">
        <v>78</v>
      </c>
      <c r="Y13">
        <v>7</v>
      </c>
    </row>
    <row r="14" spans="1:25" x14ac:dyDescent="0.3">
      <c r="A14">
        <v>21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J14" t="s">
        <v>79</v>
      </c>
      <c r="K14">
        <v>1112</v>
      </c>
      <c r="L14" t="s">
        <v>79</v>
      </c>
      <c r="M14">
        <v>102</v>
      </c>
      <c r="N14" t="s">
        <v>79</v>
      </c>
      <c r="O14">
        <v>139</v>
      </c>
      <c r="P14" t="s">
        <v>79</v>
      </c>
      <c r="Q14">
        <v>230</v>
      </c>
      <c r="R14" t="s">
        <v>79</v>
      </c>
      <c r="S14">
        <v>186</v>
      </c>
      <c r="T14" t="s">
        <v>79</v>
      </c>
      <c r="U14">
        <v>143</v>
      </c>
      <c r="V14" t="s">
        <v>79</v>
      </c>
      <c r="W14">
        <v>81</v>
      </c>
      <c r="X14" t="s">
        <v>79</v>
      </c>
      <c r="Y14">
        <v>239</v>
      </c>
    </row>
    <row r="15" spans="1:25" ht="15" thickBot="1" x14ac:dyDescent="0.35">
      <c r="A15">
        <v>28</v>
      </c>
      <c r="B15">
        <v>2</v>
      </c>
      <c r="C15">
        <v>3</v>
      </c>
      <c r="D15">
        <v>7</v>
      </c>
      <c r="E15">
        <v>4</v>
      </c>
      <c r="F15">
        <v>5</v>
      </c>
      <c r="G15">
        <v>1</v>
      </c>
      <c r="H15">
        <v>6</v>
      </c>
      <c r="J15" s="1" t="s">
        <v>80</v>
      </c>
      <c r="K15" s="1">
        <v>40</v>
      </c>
      <c r="L15" s="1" t="s">
        <v>80</v>
      </c>
      <c r="M15" s="1">
        <v>40</v>
      </c>
      <c r="N15" s="1" t="s">
        <v>80</v>
      </c>
      <c r="O15" s="1">
        <v>40</v>
      </c>
      <c r="P15" s="1" t="s">
        <v>80</v>
      </c>
      <c r="Q15" s="1">
        <v>40</v>
      </c>
      <c r="R15" s="1" t="s">
        <v>80</v>
      </c>
      <c r="S15" s="1">
        <v>40</v>
      </c>
      <c r="T15" s="1" t="s">
        <v>80</v>
      </c>
      <c r="U15" s="1">
        <v>40</v>
      </c>
      <c r="V15" s="1" t="s">
        <v>80</v>
      </c>
      <c r="W15" s="1">
        <v>40</v>
      </c>
      <c r="X15" s="1" t="s">
        <v>80</v>
      </c>
      <c r="Y15" s="1">
        <v>40</v>
      </c>
    </row>
    <row r="16" spans="1:25" x14ac:dyDescent="0.3">
      <c r="A16">
        <v>25</v>
      </c>
      <c r="B16">
        <v>2</v>
      </c>
      <c r="C16">
        <v>3</v>
      </c>
      <c r="D16">
        <v>7</v>
      </c>
      <c r="E16">
        <v>5</v>
      </c>
      <c r="F16">
        <v>4</v>
      </c>
      <c r="G16">
        <v>1</v>
      </c>
      <c r="H16">
        <v>6</v>
      </c>
    </row>
    <row r="17" spans="1:8" x14ac:dyDescent="0.3">
      <c r="A17">
        <v>27</v>
      </c>
      <c r="B17">
        <v>2</v>
      </c>
      <c r="C17">
        <v>3</v>
      </c>
      <c r="D17">
        <v>7</v>
      </c>
      <c r="E17">
        <v>5</v>
      </c>
      <c r="F17">
        <v>4</v>
      </c>
      <c r="G17">
        <v>1</v>
      </c>
      <c r="H17">
        <v>6</v>
      </c>
    </row>
    <row r="18" spans="1:8" x14ac:dyDescent="0.3">
      <c r="A18">
        <v>28</v>
      </c>
      <c r="B18">
        <v>3</v>
      </c>
      <c r="C18">
        <v>2</v>
      </c>
      <c r="D18">
        <v>7</v>
      </c>
      <c r="E18">
        <v>5</v>
      </c>
      <c r="F18">
        <v>4</v>
      </c>
      <c r="G18">
        <v>1</v>
      </c>
      <c r="H18">
        <v>6</v>
      </c>
    </row>
    <row r="19" spans="1:8" x14ac:dyDescent="0.3">
      <c r="A19">
        <v>27</v>
      </c>
      <c r="B19">
        <v>3</v>
      </c>
      <c r="C19">
        <v>2</v>
      </c>
      <c r="D19">
        <v>7</v>
      </c>
      <c r="E19">
        <v>4</v>
      </c>
      <c r="F19">
        <v>5</v>
      </c>
      <c r="G19">
        <v>1</v>
      </c>
      <c r="H19">
        <v>6</v>
      </c>
    </row>
    <row r="20" spans="1:8" x14ac:dyDescent="0.3">
      <c r="A20">
        <v>29</v>
      </c>
      <c r="B20">
        <v>3</v>
      </c>
      <c r="C20">
        <v>2</v>
      </c>
      <c r="D20">
        <v>7</v>
      </c>
      <c r="E20">
        <v>4</v>
      </c>
      <c r="F20">
        <v>5</v>
      </c>
      <c r="G20">
        <v>1</v>
      </c>
      <c r="H20">
        <v>6</v>
      </c>
    </row>
    <row r="21" spans="1:8" x14ac:dyDescent="0.3">
      <c r="A21">
        <v>26</v>
      </c>
      <c r="B21">
        <v>3</v>
      </c>
      <c r="C21">
        <v>4</v>
      </c>
      <c r="D21">
        <v>6</v>
      </c>
      <c r="E21">
        <v>5</v>
      </c>
      <c r="F21">
        <v>1</v>
      </c>
      <c r="G21">
        <v>2</v>
      </c>
      <c r="H21">
        <v>7</v>
      </c>
    </row>
    <row r="22" spans="1:8" x14ac:dyDescent="0.3">
      <c r="A22">
        <v>29</v>
      </c>
      <c r="B22">
        <v>2</v>
      </c>
      <c r="C22">
        <v>4</v>
      </c>
      <c r="D22">
        <v>7</v>
      </c>
      <c r="E22">
        <v>5</v>
      </c>
      <c r="F22">
        <v>3</v>
      </c>
      <c r="G22">
        <v>1</v>
      </c>
      <c r="H22">
        <v>6</v>
      </c>
    </row>
    <row r="23" spans="1:8" x14ac:dyDescent="0.3">
      <c r="A23">
        <v>24</v>
      </c>
      <c r="B23">
        <v>2</v>
      </c>
      <c r="C23">
        <v>4</v>
      </c>
      <c r="D23">
        <v>5</v>
      </c>
      <c r="E23">
        <v>6</v>
      </c>
      <c r="F23">
        <v>3</v>
      </c>
      <c r="G23">
        <v>1</v>
      </c>
      <c r="H23">
        <v>7</v>
      </c>
    </row>
    <row r="24" spans="1:8" x14ac:dyDescent="0.3">
      <c r="A24">
        <v>27</v>
      </c>
      <c r="B24">
        <v>3</v>
      </c>
      <c r="C24">
        <v>4</v>
      </c>
      <c r="D24">
        <v>6</v>
      </c>
      <c r="E24">
        <v>5</v>
      </c>
      <c r="F24">
        <v>2</v>
      </c>
      <c r="G24">
        <v>1</v>
      </c>
      <c r="H24">
        <v>7</v>
      </c>
    </row>
    <row r="25" spans="1:8" x14ac:dyDescent="0.3">
      <c r="A25">
        <v>25</v>
      </c>
      <c r="B25">
        <v>2</v>
      </c>
      <c r="C25">
        <v>4</v>
      </c>
      <c r="D25">
        <v>6</v>
      </c>
      <c r="E25">
        <v>5</v>
      </c>
      <c r="F25">
        <v>3</v>
      </c>
      <c r="G25">
        <v>1</v>
      </c>
      <c r="H25">
        <v>7</v>
      </c>
    </row>
    <row r="26" spans="1:8" x14ac:dyDescent="0.3">
      <c r="A26">
        <v>26</v>
      </c>
      <c r="B26">
        <v>2</v>
      </c>
      <c r="C26">
        <v>3</v>
      </c>
      <c r="D26">
        <v>7</v>
      </c>
      <c r="E26">
        <v>5</v>
      </c>
      <c r="F26">
        <v>4</v>
      </c>
      <c r="G26">
        <v>1</v>
      </c>
      <c r="H26">
        <v>6</v>
      </c>
    </row>
    <row r="27" spans="1:8" x14ac:dyDescent="0.3">
      <c r="A27">
        <v>32</v>
      </c>
      <c r="B27">
        <v>3</v>
      </c>
      <c r="C27">
        <v>4</v>
      </c>
      <c r="D27">
        <v>7</v>
      </c>
      <c r="E27">
        <v>5</v>
      </c>
      <c r="F27">
        <v>1</v>
      </c>
      <c r="G27">
        <v>2</v>
      </c>
      <c r="H27">
        <v>6</v>
      </c>
    </row>
    <row r="28" spans="1:8" x14ac:dyDescent="0.3">
      <c r="A28">
        <v>26</v>
      </c>
      <c r="B28">
        <v>3</v>
      </c>
      <c r="C28">
        <v>4</v>
      </c>
      <c r="D28">
        <v>6</v>
      </c>
      <c r="E28">
        <v>5</v>
      </c>
      <c r="F28">
        <v>1</v>
      </c>
      <c r="G28">
        <v>2</v>
      </c>
      <c r="H28">
        <v>7</v>
      </c>
    </row>
    <row r="29" spans="1:8" x14ac:dyDescent="0.3">
      <c r="A29">
        <v>31</v>
      </c>
      <c r="B29">
        <v>2</v>
      </c>
      <c r="C29">
        <v>3</v>
      </c>
      <c r="D29">
        <v>7</v>
      </c>
      <c r="E29">
        <v>6</v>
      </c>
      <c r="F29">
        <v>4</v>
      </c>
      <c r="G29">
        <v>1</v>
      </c>
      <c r="H29">
        <v>5</v>
      </c>
    </row>
    <row r="30" spans="1:8" x14ac:dyDescent="0.3">
      <c r="A30">
        <v>29</v>
      </c>
      <c r="B30">
        <v>2</v>
      </c>
      <c r="C30">
        <v>3</v>
      </c>
      <c r="D30">
        <v>6</v>
      </c>
      <c r="E30">
        <v>5</v>
      </c>
      <c r="F30">
        <v>1</v>
      </c>
      <c r="G30">
        <v>4</v>
      </c>
      <c r="H30">
        <v>7</v>
      </c>
    </row>
    <row r="31" spans="1:8" x14ac:dyDescent="0.3">
      <c r="A31">
        <v>34</v>
      </c>
      <c r="B31">
        <v>5</v>
      </c>
      <c r="C31">
        <v>4</v>
      </c>
      <c r="D31">
        <v>3</v>
      </c>
      <c r="E31">
        <v>2</v>
      </c>
      <c r="F31">
        <v>7</v>
      </c>
      <c r="G31">
        <v>1</v>
      </c>
      <c r="H31">
        <v>6</v>
      </c>
    </row>
    <row r="32" spans="1:8" x14ac:dyDescent="0.3">
      <c r="A32">
        <v>27</v>
      </c>
      <c r="B32">
        <v>4</v>
      </c>
      <c r="C32">
        <v>5</v>
      </c>
      <c r="D32">
        <v>1</v>
      </c>
      <c r="E32">
        <v>2</v>
      </c>
      <c r="F32">
        <v>7</v>
      </c>
      <c r="G32">
        <v>3</v>
      </c>
      <c r="H32">
        <v>6</v>
      </c>
    </row>
    <row r="33" spans="1:8" x14ac:dyDescent="0.3">
      <c r="A33">
        <v>31</v>
      </c>
      <c r="B33">
        <v>2</v>
      </c>
      <c r="C33">
        <v>4</v>
      </c>
      <c r="D33">
        <v>7</v>
      </c>
      <c r="E33">
        <v>6</v>
      </c>
      <c r="F33">
        <v>3</v>
      </c>
      <c r="G33">
        <v>1</v>
      </c>
      <c r="H33">
        <v>5</v>
      </c>
    </row>
    <row r="34" spans="1:8" x14ac:dyDescent="0.3">
      <c r="A34">
        <v>27</v>
      </c>
      <c r="B34">
        <v>2</v>
      </c>
      <c r="C34">
        <v>4</v>
      </c>
      <c r="D34">
        <v>7</v>
      </c>
      <c r="E34">
        <v>5</v>
      </c>
      <c r="F34">
        <v>1</v>
      </c>
      <c r="G34">
        <v>3</v>
      </c>
      <c r="H34">
        <v>6</v>
      </c>
    </row>
    <row r="35" spans="1:8" x14ac:dyDescent="0.3">
      <c r="A35">
        <v>26</v>
      </c>
      <c r="B35">
        <v>2</v>
      </c>
      <c r="C35">
        <v>3</v>
      </c>
      <c r="D35">
        <v>6</v>
      </c>
      <c r="E35">
        <v>4</v>
      </c>
      <c r="F35">
        <v>1</v>
      </c>
      <c r="G35">
        <v>5</v>
      </c>
      <c r="H35">
        <v>7</v>
      </c>
    </row>
    <row r="36" spans="1:8" x14ac:dyDescent="0.3">
      <c r="A36">
        <v>27</v>
      </c>
      <c r="B36">
        <v>2</v>
      </c>
      <c r="C36">
        <v>3</v>
      </c>
      <c r="D36">
        <v>6</v>
      </c>
      <c r="E36">
        <v>5</v>
      </c>
      <c r="F36">
        <v>4</v>
      </c>
      <c r="G36">
        <v>1</v>
      </c>
      <c r="H36">
        <v>7</v>
      </c>
    </row>
    <row r="37" spans="1:8" x14ac:dyDescent="0.3">
      <c r="A37">
        <v>30</v>
      </c>
      <c r="B37">
        <v>1</v>
      </c>
      <c r="C37">
        <v>4</v>
      </c>
      <c r="D37">
        <v>6</v>
      </c>
      <c r="E37">
        <v>5</v>
      </c>
      <c r="F37">
        <v>3</v>
      </c>
      <c r="G37">
        <v>2</v>
      </c>
      <c r="H37">
        <v>7</v>
      </c>
    </row>
    <row r="38" spans="1:8" x14ac:dyDescent="0.3">
      <c r="A38">
        <v>30</v>
      </c>
      <c r="B38">
        <v>2</v>
      </c>
      <c r="C38">
        <v>4</v>
      </c>
      <c r="D38">
        <v>7</v>
      </c>
      <c r="E38">
        <v>5</v>
      </c>
      <c r="F38">
        <v>1</v>
      </c>
      <c r="G38">
        <v>3</v>
      </c>
      <c r="H38">
        <v>6</v>
      </c>
    </row>
    <row r="39" spans="1:8" x14ac:dyDescent="0.3">
      <c r="A39">
        <v>25</v>
      </c>
      <c r="B39">
        <v>5</v>
      </c>
      <c r="C39">
        <v>4</v>
      </c>
      <c r="D39">
        <v>7</v>
      </c>
      <c r="E39">
        <v>6</v>
      </c>
      <c r="F39">
        <v>1</v>
      </c>
      <c r="G39">
        <v>2</v>
      </c>
      <c r="H39">
        <v>3</v>
      </c>
    </row>
    <row r="40" spans="1:8" x14ac:dyDescent="0.3">
      <c r="A40">
        <v>31</v>
      </c>
      <c r="B40">
        <v>2</v>
      </c>
      <c r="C40">
        <v>4</v>
      </c>
      <c r="D40">
        <v>7</v>
      </c>
      <c r="E40">
        <v>5</v>
      </c>
      <c r="F40">
        <v>3</v>
      </c>
      <c r="G40">
        <v>1</v>
      </c>
      <c r="H40">
        <v>6</v>
      </c>
    </row>
    <row r="41" spans="1:8" x14ac:dyDescent="0.3">
      <c r="A41">
        <v>29</v>
      </c>
      <c r="B41">
        <v>4</v>
      </c>
      <c r="C41">
        <v>3</v>
      </c>
      <c r="D41">
        <v>5</v>
      </c>
      <c r="E41">
        <v>7</v>
      </c>
      <c r="F41">
        <v>2</v>
      </c>
      <c r="G41">
        <v>1</v>
      </c>
      <c r="H4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8242-488E-453D-996B-F6C0AC30E8F0}">
  <dimension ref="A1:U41"/>
  <sheetViews>
    <sheetView workbookViewId="0">
      <selection activeCell="G12" sqref="G12"/>
    </sheetView>
  </sheetViews>
  <sheetFormatPr defaultRowHeight="14.4" x14ac:dyDescent="0.3"/>
  <cols>
    <col min="1" max="1" width="12.5546875" bestFit="1" customWidth="1"/>
    <col min="2" max="2" width="21.5546875" bestFit="1" customWidth="1"/>
    <col min="3" max="3" width="19.77734375" bestFit="1" customWidth="1"/>
    <col min="4" max="4" width="20.109375" bestFit="1" customWidth="1"/>
    <col min="5" max="5" width="17.33203125" bestFit="1" customWidth="1"/>
    <col min="6" max="6" width="24.5546875" bestFit="1" customWidth="1"/>
    <col min="7" max="7" width="20.109375" bestFit="1" customWidth="1"/>
    <col min="8" max="8" width="10.5546875" bestFit="1" customWidth="1"/>
    <col min="9" max="9" width="11.33203125" bestFit="1" customWidth="1"/>
    <col min="10" max="10" width="12.5546875" bestFit="1" customWidth="1"/>
    <col min="12" max="12" width="14.88671875" customWidth="1"/>
    <col min="13" max="13" width="13.44140625" customWidth="1"/>
    <col min="14" max="14" width="14.33203125" customWidth="1"/>
    <col min="15" max="15" width="14.77734375" customWidth="1"/>
    <col min="16" max="16" width="12.21875" customWidth="1"/>
    <col min="17" max="17" width="19" customWidth="1"/>
    <col min="18" max="18" width="15.109375" customWidth="1"/>
    <col min="21" max="21" width="19.77734375" customWidth="1"/>
  </cols>
  <sheetData>
    <row r="1" spans="1:21" x14ac:dyDescent="0.3">
      <c r="L1" t="s">
        <v>10</v>
      </c>
      <c r="M1" t="s">
        <v>127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2</v>
      </c>
    </row>
    <row r="2" spans="1:21" x14ac:dyDescent="0.3">
      <c r="L2" t="s">
        <v>25</v>
      </c>
      <c r="M2">
        <f>IF(L2="Yes",1,0)</f>
        <v>1</v>
      </c>
      <c r="N2">
        <v>1</v>
      </c>
      <c r="O2">
        <v>2</v>
      </c>
      <c r="P2">
        <v>5</v>
      </c>
      <c r="Q2">
        <v>3</v>
      </c>
      <c r="R2">
        <v>7</v>
      </c>
      <c r="S2">
        <v>6</v>
      </c>
      <c r="T2">
        <v>4</v>
      </c>
      <c r="U2" t="s">
        <v>25</v>
      </c>
    </row>
    <row r="3" spans="1:21" x14ac:dyDescent="0.3">
      <c r="A3" s="3" t="s">
        <v>81</v>
      </c>
      <c r="B3" t="s">
        <v>92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L3" t="s">
        <v>38</v>
      </c>
      <c r="M3">
        <f t="shared" ref="M3" si="0">IF(L3="Yes",1,0)</f>
        <v>0</v>
      </c>
      <c r="N3">
        <v>4</v>
      </c>
      <c r="O3">
        <v>3</v>
      </c>
      <c r="P3">
        <v>2</v>
      </c>
      <c r="Q3">
        <v>1</v>
      </c>
      <c r="R3">
        <v>5</v>
      </c>
      <c r="S3">
        <v>6</v>
      </c>
      <c r="T3">
        <v>7</v>
      </c>
      <c r="U3" t="s">
        <v>25</v>
      </c>
    </row>
    <row r="4" spans="1:21" x14ac:dyDescent="0.3">
      <c r="A4" s="4" t="s">
        <v>38</v>
      </c>
      <c r="B4">
        <v>3</v>
      </c>
      <c r="C4">
        <v>10</v>
      </c>
      <c r="D4">
        <v>8</v>
      </c>
      <c r="E4">
        <v>10</v>
      </c>
      <c r="F4">
        <v>16</v>
      </c>
      <c r="G4">
        <v>12</v>
      </c>
      <c r="H4">
        <v>12</v>
      </c>
      <c r="I4">
        <v>16</v>
      </c>
      <c r="J4">
        <v>69</v>
      </c>
      <c r="L4" t="s">
        <v>25</v>
      </c>
      <c r="M4">
        <f>IF(L4="Yes",1,0)</f>
        <v>1</v>
      </c>
      <c r="N4">
        <v>3</v>
      </c>
      <c r="O4">
        <v>6</v>
      </c>
      <c r="P4">
        <v>4</v>
      </c>
      <c r="Q4">
        <v>2</v>
      </c>
      <c r="R4">
        <v>5</v>
      </c>
      <c r="S4">
        <v>1</v>
      </c>
      <c r="T4">
        <v>7</v>
      </c>
      <c r="U4" t="s">
        <v>25</v>
      </c>
    </row>
    <row r="5" spans="1:21" x14ac:dyDescent="0.3">
      <c r="A5" s="4" t="s">
        <v>25</v>
      </c>
      <c r="B5">
        <v>37</v>
      </c>
      <c r="C5">
        <v>92</v>
      </c>
      <c r="D5">
        <v>131</v>
      </c>
      <c r="E5">
        <v>220</v>
      </c>
      <c r="F5">
        <v>170</v>
      </c>
      <c r="G5">
        <v>131</v>
      </c>
      <c r="H5">
        <v>69</v>
      </c>
      <c r="I5">
        <v>223</v>
      </c>
      <c r="J5">
        <v>851</v>
      </c>
      <c r="L5" t="s">
        <v>25</v>
      </c>
      <c r="M5">
        <f>IF(L5="Yes",1,0)</f>
        <v>1</v>
      </c>
      <c r="N5">
        <v>2</v>
      </c>
      <c r="O5">
        <v>1</v>
      </c>
      <c r="P5">
        <v>3</v>
      </c>
      <c r="Q5">
        <v>7</v>
      </c>
      <c r="R5">
        <v>6</v>
      </c>
      <c r="S5">
        <v>4</v>
      </c>
      <c r="T5">
        <v>5</v>
      </c>
      <c r="U5" t="s">
        <v>25</v>
      </c>
    </row>
    <row r="6" spans="1:21" x14ac:dyDescent="0.3">
      <c r="A6" s="4" t="s">
        <v>83</v>
      </c>
      <c r="B6">
        <v>40</v>
      </c>
      <c r="C6">
        <v>102</v>
      </c>
      <c r="D6">
        <v>139</v>
      </c>
      <c r="E6">
        <v>230</v>
      </c>
      <c r="F6">
        <v>186</v>
      </c>
      <c r="G6">
        <v>143</v>
      </c>
      <c r="H6">
        <v>81</v>
      </c>
      <c r="I6">
        <v>239</v>
      </c>
      <c r="J6">
        <v>920</v>
      </c>
      <c r="L6" t="s">
        <v>38</v>
      </c>
      <c r="M6">
        <f>IF(L6="Yes",1,0)</f>
        <v>0</v>
      </c>
      <c r="N6">
        <v>2</v>
      </c>
      <c r="O6">
        <v>1</v>
      </c>
      <c r="P6">
        <v>3</v>
      </c>
      <c r="Q6">
        <v>6</v>
      </c>
      <c r="R6">
        <v>4</v>
      </c>
      <c r="S6">
        <v>5</v>
      </c>
      <c r="T6">
        <v>7</v>
      </c>
      <c r="U6" t="s">
        <v>38</v>
      </c>
    </row>
    <row r="7" spans="1:21" x14ac:dyDescent="0.3">
      <c r="L7" t="s">
        <v>38</v>
      </c>
      <c r="M7">
        <f>IF(L7="Yes",1,0)</f>
        <v>0</v>
      </c>
      <c r="N7">
        <v>7</v>
      </c>
      <c r="O7">
        <v>5</v>
      </c>
      <c r="P7">
        <v>4</v>
      </c>
      <c r="Q7">
        <v>6</v>
      </c>
      <c r="R7">
        <v>3</v>
      </c>
      <c r="S7">
        <v>1</v>
      </c>
      <c r="T7">
        <v>2</v>
      </c>
      <c r="U7" t="s">
        <v>38</v>
      </c>
    </row>
    <row r="8" spans="1:21" x14ac:dyDescent="0.3">
      <c r="L8" t="s">
        <v>25</v>
      </c>
      <c r="M8">
        <f>IF(L8="Yes",1,0)</f>
        <v>1</v>
      </c>
      <c r="N8">
        <v>3</v>
      </c>
      <c r="O8">
        <v>6</v>
      </c>
      <c r="P8">
        <v>4</v>
      </c>
      <c r="Q8">
        <v>2</v>
      </c>
      <c r="R8">
        <v>5</v>
      </c>
      <c r="S8">
        <v>1</v>
      </c>
      <c r="T8">
        <v>7</v>
      </c>
      <c r="U8" t="s">
        <v>25</v>
      </c>
    </row>
    <row r="9" spans="1:21" x14ac:dyDescent="0.3">
      <c r="L9" t="s">
        <v>25</v>
      </c>
      <c r="M9">
        <f>IF(L9="Yes",1,0)</f>
        <v>1</v>
      </c>
      <c r="N9">
        <v>2</v>
      </c>
      <c r="O9">
        <v>3</v>
      </c>
      <c r="P9">
        <v>7</v>
      </c>
      <c r="Q9">
        <v>4</v>
      </c>
      <c r="R9">
        <v>6</v>
      </c>
      <c r="S9">
        <v>1</v>
      </c>
      <c r="T9">
        <v>5</v>
      </c>
      <c r="U9" t="s">
        <v>25</v>
      </c>
    </row>
    <row r="10" spans="1:21" x14ac:dyDescent="0.3">
      <c r="L10" t="s">
        <v>25</v>
      </c>
      <c r="M10">
        <f>IF(L10="Yes",1,0)</f>
        <v>1</v>
      </c>
      <c r="N10">
        <v>2</v>
      </c>
      <c r="O10">
        <v>4</v>
      </c>
      <c r="P10">
        <v>7</v>
      </c>
      <c r="Q10">
        <v>5</v>
      </c>
      <c r="R10">
        <v>3</v>
      </c>
      <c r="S10">
        <v>1</v>
      </c>
      <c r="T10">
        <v>6</v>
      </c>
      <c r="U10" t="s">
        <v>25</v>
      </c>
    </row>
    <row r="11" spans="1:21" x14ac:dyDescent="0.3">
      <c r="L11" t="s">
        <v>25</v>
      </c>
      <c r="M11">
        <f>IF(L11="Yes",1,0)</f>
        <v>1</v>
      </c>
      <c r="N11">
        <v>1</v>
      </c>
      <c r="O11">
        <v>3</v>
      </c>
      <c r="P11">
        <v>7</v>
      </c>
      <c r="Q11">
        <v>4</v>
      </c>
      <c r="R11">
        <v>5</v>
      </c>
      <c r="S11">
        <v>2</v>
      </c>
      <c r="T11">
        <v>6</v>
      </c>
      <c r="U11" t="s">
        <v>25</v>
      </c>
    </row>
    <row r="12" spans="1:21" x14ac:dyDescent="0.3">
      <c r="L12" t="s">
        <v>25</v>
      </c>
      <c r="M12">
        <f>IF(L12="Yes",1,0)</f>
        <v>1</v>
      </c>
      <c r="N12">
        <v>2</v>
      </c>
      <c r="O12">
        <v>4</v>
      </c>
      <c r="P12">
        <v>7</v>
      </c>
      <c r="Q12">
        <v>5</v>
      </c>
      <c r="R12">
        <v>3</v>
      </c>
      <c r="S12">
        <v>1</v>
      </c>
      <c r="T12">
        <v>6</v>
      </c>
      <c r="U12" t="s">
        <v>25</v>
      </c>
    </row>
    <row r="13" spans="1:21" x14ac:dyDescent="0.3">
      <c r="L13" t="s">
        <v>25</v>
      </c>
      <c r="M13">
        <f>IF(L13="Yes",1,0)</f>
        <v>1</v>
      </c>
      <c r="N13">
        <v>2</v>
      </c>
      <c r="O13">
        <v>5</v>
      </c>
      <c r="P13">
        <v>7</v>
      </c>
      <c r="Q13">
        <v>6</v>
      </c>
      <c r="R13">
        <v>3</v>
      </c>
      <c r="S13">
        <v>1</v>
      </c>
      <c r="T13">
        <v>4</v>
      </c>
      <c r="U13" t="s">
        <v>25</v>
      </c>
    </row>
    <row r="14" spans="1:21" x14ac:dyDescent="0.3">
      <c r="L14" t="s">
        <v>38</v>
      </c>
      <c r="M14">
        <f>IF(L14="Yes",1,0)</f>
        <v>0</v>
      </c>
      <c r="N14">
        <v>1</v>
      </c>
      <c r="O14">
        <v>2</v>
      </c>
      <c r="P14">
        <v>3</v>
      </c>
      <c r="Q14">
        <v>4</v>
      </c>
      <c r="R14">
        <v>5</v>
      </c>
      <c r="S14">
        <v>6</v>
      </c>
      <c r="T14">
        <v>7</v>
      </c>
      <c r="U14" t="s">
        <v>38</v>
      </c>
    </row>
    <row r="15" spans="1:21" x14ac:dyDescent="0.3">
      <c r="L15" t="s">
        <v>25</v>
      </c>
      <c r="M15">
        <f>IF(L15="Yes",1,0)</f>
        <v>1</v>
      </c>
      <c r="N15">
        <v>2</v>
      </c>
      <c r="O15">
        <v>3</v>
      </c>
      <c r="P15">
        <v>7</v>
      </c>
      <c r="Q15">
        <v>4</v>
      </c>
      <c r="R15">
        <v>5</v>
      </c>
      <c r="S15">
        <v>1</v>
      </c>
      <c r="T15">
        <v>6</v>
      </c>
      <c r="U15" t="s">
        <v>25</v>
      </c>
    </row>
    <row r="16" spans="1:21" x14ac:dyDescent="0.3">
      <c r="L16" t="s">
        <v>25</v>
      </c>
      <c r="M16">
        <f>IF(L16="Yes",1,0)</f>
        <v>1</v>
      </c>
      <c r="N16">
        <v>2</v>
      </c>
      <c r="O16">
        <v>3</v>
      </c>
      <c r="P16">
        <v>7</v>
      </c>
      <c r="Q16">
        <v>5</v>
      </c>
      <c r="R16">
        <v>4</v>
      </c>
      <c r="S16">
        <v>1</v>
      </c>
      <c r="T16">
        <v>6</v>
      </c>
      <c r="U16" t="s">
        <v>25</v>
      </c>
    </row>
    <row r="17" spans="12:21" x14ac:dyDescent="0.3">
      <c r="L17" t="s">
        <v>25</v>
      </c>
      <c r="M17">
        <f>IF(L17="Yes",1,0)</f>
        <v>1</v>
      </c>
      <c r="N17">
        <v>2</v>
      </c>
      <c r="O17">
        <v>3</v>
      </c>
      <c r="P17">
        <v>7</v>
      </c>
      <c r="Q17">
        <v>5</v>
      </c>
      <c r="R17">
        <v>4</v>
      </c>
      <c r="S17">
        <v>1</v>
      </c>
      <c r="T17">
        <v>6</v>
      </c>
      <c r="U17" t="s">
        <v>25</v>
      </c>
    </row>
    <row r="18" spans="12:21" x14ac:dyDescent="0.3">
      <c r="L18" t="s">
        <v>25</v>
      </c>
      <c r="M18">
        <f>IF(L18="Yes",1,0)</f>
        <v>1</v>
      </c>
      <c r="N18">
        <v>3</v>
      </c>
      <c r="O18">
        <v>2</v>
      </c>
      <c r="P18">
        <v>7</v>
      </c>
      <c r="Q18">
        <v>5</v>
      </c>
      <c r="R18">
        <v>4</v>
      </c>
      <c r="S18">
        <v>1</v>
      </c>
      <c r="T18">
        <v>6</v>
      </c>
      <c r="U18" t="s">
        <v>25</v>
      </c>
    </row>
    <row r="19" spans="12:21" x14ac:dyDescent="0.3">
      <c r="L19" t="s">
        <v>25</v>
      </c>
      <c r="M19">
        <f>IF(L19="Yes",1,0)</f>
        <v>1</v>
      </c>
      <c r="N19">
        <v>3</v>
      </c>
      <c r="O19">
        <v>2</v>
      </c>
      <c r="P19">
        <v>7</v>
      </c>
      <c r="Q19">
        <v>4</v>
      </c>
      <c r="R19">
        <v>5</v>
      </c>
      <c r="S19">
        <v>1</v>
      </c>
      <c r="T19">
        <v>6</v>
      </c>
      <c r="U19" t="s">
        <v>25</v>
      </c>
    </row>
    <row r="20" spans="12:21" x14ac:dyDescent="0.3">
      <c r="L20" t="s">
        <v>25</v>
      </c>
      <c r="M20">
        <f>IF(L20="Yes",1,0)</f>
        <v>1</v>
      </c>
      <c r="N20">
        <v>3</v>
      </c>
      <c r="O20">
        <v>2</v>
      </c>
      <c r="P20">
        <v>7</v>
      </c>
      <c r="Q20">
        <v>4</v>
      </c>
      <c r="R20">
        <v>5</v>
      </c>
      <c r="S20">
        <v>1</v>
      </c>
      <c r="T20">
        <v>6</v>
      </c>
      <c r="U20" t="s">
        <v>25</v>
      </c>
    </row>
    <row r="21" spans="12:21" x14ac:dyDescent="0.3">
      <c r="L21" t="s">
        <v>25</v>
      </c>
      <c r="M21">
        <f>IF(L21="Yes",1,0)</f>
        <v>1</v>
      </c>
      <c r="N21">
        <v>3</v>
      </c>
      <c r="O21">
        <v>4</v>
      </c>
      <c r="P21">
        <v>6</v>
      </c>
      <c r="Q21">
        <v>5</v>
      </c>
      <c r="R21">
        <v>1</v>
      </c>
      <c r="S21">
        <v>2</v>
      </c>
      <c r="T21">
        <v>7</v>
      </c>
      <c r="U21" t="s">
        <v>25</v>
      </c>
    </row>
    <row r="22" spans="12:21" x14ac:dyDescent="0.3">
      <c r="L22" t="s">
        <v>25</v>
      </c>
      <c r="M22">
        <f>IF(L22="Yes",1,0)</f>
        <v>1</v>
      </c>
      <c r="N22">
        <v>2</v>
      </c>
      <c r="O22">
        <v>4</v>
      </c>
      <c r="P22">
        <v>7</v>
      </c>
      <c r="Q22">
        <v>5</v>
      </c>
      <c r="R22">
        <v>3</v>
      </c>
      <c r="S22">
        <v>1</v>
      </c>
      <c r="T22">
        <v>6</v>
      </c>
      <c r="U22" t="s">
        <v>25</v>
      </c>
    </row>
    <row r="23" spans="12:21" x14ac:dyDescent="0.3">
      <c r="L23" t="s">
        <v>25</v>
      </c>
      <c r="M23">
        <f>IF(L23="Yes",1,0)</f>
        <v>1</v>
      </c>
      <c r="N23">
        <v>2</v>
      </c>
      <c r="O23">
        <v>4</v>
      </c>
      <c r="P23">
        <v>5</v>
      </c>
      <c r="Q23">
        <v>6</v>
      </c>
      <c r="R23">
        <v>3</v>
      </c>
      <c r="S23">
        <v>1</v>
      </c>
      <c r="T23">
        <v>7</v>
      </c>
      <c r="U23" t="s">
        <v>25</v>
      </c>
    </row>
    <row r="24" spans="12:21" x14ac:dyDescent="0.3">
      <c r="L24" t="s">
        <v>25</v>
      </c>
      <c r="M24">
        <f>IF(L24="Yes",1,0)</f>
        <v>1</v>
      </c>
      <c r="N24">
        <v>3</v>
      </c>
      <c r="O24">
        <v>4</v>
      </c>
      <c r="P24">
        <v>6</v>
      </c>
      <c r="Q24">
        <v>5</v>
      </c>
      <c r="R24">
        <v>2</v>
      </c>
      <c r="S24">
        <v>1</v>
      </c>
      <c r="T24">
        <v>7</v>
      </c>
      <c r="U24" t="s">
        <v>25</v>
      </c>
    </row>
    <row r="25" spans="12:21" x14ac:dyDescent="0.3">
      <c r="L25" t="s">
        <v>25</v>
      </c>
      <c r="M25">
        <f>IF(L25="Yes",1,0)</f>
        <v>1</v>
      </c>
      <c r="N25">
        <v>2</v>
      </c>
      <c r="O25">
        <v>4</v>
      </c>
      <c r="P25">
        <v>6</v>
      </c>
      <c r="Q25">
        <v>5</v>
      </c>
      <c r="R25">
        <v>3</v>
      </c>
      <c r="S25">
        <v>1</v>
      </c>
      <c r="T25">
        <v>7</v>
      </c>
      <c r="U25" t="s">
        <v>25</v>
      </c>
    </row>
    <row r="26" spans="12:21" x14ac:dyDescent="0.3">
      <c r="L26" t="s">
        <v>25</v>
      </c>
      <c r="M26">
        <f>IF(L26="Yes",1,0)</f>
        <v>1</v>
      </c>
      <c r="N26">
        <v>2</v>
      </c>
      <c r="O26">
        <v>3</v>
      </c>
      <c r="P26">
        <v>7</v>
      </c>
      <c r="Q26">
        <v>5</v>
      </c>
      <c r="R26">
        <v>4</v>
      </c>
      <c r="S26">
        <v>1</v>
      </c>
      <c r="T26">
        <v>6</v>
      </c>
      <c r="U26" t="s">
        <v>25</v>
      </c>
    </row>
    <row r="27" spans="12:21" x14ac:dyDescent="0.3">
      <c r="L27" t="s">
        <v>25</v>
      </c>
      <c r="M27">
        <f>IF(L27="Yes",1,0)</f>
        <v>1</v>
      </c>
      <c r="N27">
        <v>3</v>
      </c>
      <c r="O27">
        <v>4</v>
      </c>
      <c r="P27">
        <v>7</v>
      </c>
      <c r="Q27">
        <v>5</v>
      </c>
      <c r="R27">
        <v>1</v>
      </c>
      <c r="S27">
        <v>2</v>
      </c>
      <c r="T27">
        <v>6</v>
      </c>
      <c r="U27" t="s">
        <v>25</v>
      </c>
    </row>
    <row r="28" spans="12:21" x14ac:dyDescent="0.3">
      <c r="L28" t="s">
        <v>25</v>
      </c>
      <c r="M28">
        <f>IF(L28="Yes",1,0)</f>
        <v>1</v>
      </c>
      <c r="N28">
        <v>3</v>
      </c>
      <c r="O28">
        <v>4</v>
      </c>
      <c r="P28">
        <v>6</v>
      </c>
      <c r="Q28">
        <v>5</v>
      </c>
      <c r="R28">
        <v>1</v>
      </c>
      <c r="S28">
        <v>2</v>
      </c>
      <c r="T28">
        <v>7</v>
      </c>
      <c r="U28" t="s">
        <v>25</v>
      </c>
    </row>
    <row r="29" spans="12:21" x14ac:dyDescent="0.3">
      <c r="L29" t="s">
        <v>25</v>
      </c>
      <c r="M29">
        <f>IF(L29="Yes",1,0)</f>
        <v>1</v>
      </c>
      <c r="N29">
        <v>2</v>
      </c>
      <c r="O29">
        <v>3</v>
      </c>
      <c r="P29">
        <v>7</v>
      </c>
      <c r="Q29">
        <v>6</v>
      </c>
      <c r="R29">
        <v>4</v>
      </c>
      <c r="S29">
        <v>1</v>
      </c>
      <c r="T29">
        <v>5</v>
      </c>
      <c r="U29" t="s">
        <v>25</v>
      </c>
    </row>
    <row r="30" spans="12:21" x14ac:dyDescent="0.3">
      <c r="L30" t="s">
        <v>25</v>
      </c>
      <c r="M30">
        <f>IF(L30="Yes",1,0)</f>
        <v>1</v>
      </c>
      <c r="N30">
        <v>2</v>
      </c>
      <c r="O30">
        <v>3</v>
      </c>
      <c r="P30">
        <v>6</v>
      </c>
      <c r="Q30">
        <v>5</v>
      </c>
      <c r="R30">
        <v>1</v>
      </c>
      <c r="S30">
        <v>4</v>
      </c>
      <c r="T30">
        <v>7</v>
      </c>
      <c r="U30" t="s">
        <v>25</v>
      </c>
    </row>
    <row r="31" spans="12:21" x14ac:dyDescent="0.3">
      <c r="L31" t="s">
        <v>25</v>
      </c>
      <c r="M31">
        <f>IF(L31="Yes",1,0)</f>
        <v>1</v>
      </c>
      <c r="N31">
        <v>5</v>
      </c>
      <c r="O31">
        <v>4</v>
      </c>
      <c r="P31">
        <v>3</v>
      </c>
      <c r="Q31">
        <v>2</v>
      </c>
      <c r="R31">
        <v>7</v>
      </c>
      <c r="S31">
        <v>1</v>
      </c>
      <c r="T31">
        <v>6</v>
      </c>
      <c r="U31" t="s">
        <v>25</v>
      </c>
    </row>
    <row r="32" spans="12:21" x14ac:dyDescent="0.3">
      <c r="L32" t="s">
        <v>38</v>
      </c>
      <c r="M32">
        <f>IF(L32="Yes",1,0)</f>
        <v>0</v>
      </c>
      <c r="N32">
        <v>4</v>
      </c>
      <c r="O32">
        <v>5</v>
      </c>
      <c r="P32">
        <v>1</v>
      </c>
      <c r="Q32">
        <v>2</v>
      </c>
      <c r="R32">
        <v>7</v>
      </c>
      <c r="S32">
        <v>3</v>
      </c>
      <c r="T32">
        <v>6</v>
      </c>
      <c r="U32" t="s">
        <v>25</v>
      </c>
    </row>
    <row r="33" spans="12:21" x14ac:dyDescent="0.3">
      <c r="L33" t="s">
        <v>25</v>
      </c>
      <c r="M33">
        <f>IF(L33="Yes",1,0)</f>
        <v>1</v>
      </c>
      <c r="N33">
        <v>2</v>
      </c>
      <c r="O33">
        <v>4</v>
      </c>
      <c r="P33">
        <v>7</v>
      </c>
      <c r="Q33">
        <v>6</v>
      </c>
      <c r="R33">
        <v>3</v>
      </c>
      <c r="S33">
        <v>1</v>
      </c>
      <c r="T33">
        <v>5</v>
      </c>
      <c r="U33" t="s">
        <v>25</v>
      </c>
    </row>
    <row r="34" spans="12:21" x14ac:dyDescent="0.3">
      <c r="L34" t="s">
        <v>25</v>
      </c>
      <c r="M34">
        <f>IF(L34="Yes",1,0)</f>
        <v>1</v>
      </c>
      <c r="N34">
        <v>2</v>
      </c>
      <c r="O34">
        <v>4</v>
      </c>
      <c r="P34">
        <v>7</v>
      </c>
      <c r="Q34">
        <v>5</v>
      </c>
      <c r="R34">
        <v>1</v>
      </c>
      <c r="S34">
        <v>3</v>
      </c>
      <c r="T34">
        <v>6</v>
      </c>
      <c r="U34" t="s">
        <v>25</v>
      </c>
    </row>
    <row r="35" spans="12:21" x14ac:dyDescent="0.3">
      <c r="L35" t="s">
        <v>25</v>
      </c>
      <c r="M35">
        <f>IF(L35="Yes",1,0)</f>
        <v>1</v>
      </c>
      <c r="N35">
        <v>2</v>
      </c>
      <c r="O35">
        <v>3</v>
      </c>
      <c r="P35">
        <v>6</v>
      </c>
      <c r="Q35">
        <v>4</v>
      </c>
      <c r="R35">
        <v>1</v>
      </c>
      <c r="S35">
        <v>5</v>
      </c>
      <c r="T35">
        <v>7</v>
      </c>
      <c r="U35" t="s">
        <v>25</v>
      </c>
    </row>
    <row r="36" spans="12:21" x14ac:dyDescent="0.3">
      <c r="L36" t="s">
        <v>25</v>
      </c>
      <c r="M36">
        <f>IF(L36="Yes",1,0)</f>
        <v>1</v>
      </c>
      <c r="N36">
        <v>2</v>
      </c>
      <c r="O36">
        <v>3</v>
      </c>
      <c r="P36">
        <v>6</v>
      </c>
      <c r="Q36">
        <v>5</v>
      </c>
      <c r="R36">
        <v>4</v>
      </c>
      <c r="S36">
        <v>1</v>
      </c>
      <c r="T36">
        <v>7</v>
      </c>
      <c r="U36" t="s">
        <v>25</v>
      </c>
    </row>
    <row r="37" spans="12:21" x14ac:dyDescent="0.3">
      <c r="L37" t="s">
        <v>25</v>
      </c>
      <c r="M37">
        <f>IF(L37="Yes",1,0)</f>
        <v>1</v>
      </c>
      <c r="N37">
        <v>1</v>
      </c>
      <c r="O37">
        <v>4</v>
      </c>
      <c r="P37">
        <v>6</v>
      </c>
      <c r="Q37">
        <v>5</v>
      </c>
      <c r="R37">
        <v>3</v>
      </c>
      <c r="S37">
        <v>2</v>
      </c>
      <c r="T37">
        <v>7</v>
      </c>
      <c r="U37" t="s">
        <v>25</v>
      </c>
    </row>
    <row r="38" spans="12:21" x14ac:dyDescent="0.3">
      <c r="L38" t="s">
        <v>25</v>
      </c>
      <c r="M38">
        <f>IF(L38="Yes",1,0)</f>
        <v>1</v>
      </c>
      <c r="N38">
        <v>2</v>
      </c>
      <c r="O38">
        <v>4</v>
      </c>
      <c r="P38">
        <v>7</v>
      </c>
      <c r="Q38">
        <v>5</v>
      </c>
      <c r="R38">
        <v>1</v>
      </c>
      <c r="S38">
        <v>3</v>
      </c>
      <c r="T38">
        <v>6</v>
      </c>
      <c r="U38" t="s">
        <v>25</v>
      </c>
    </row>
    <row r="39" spans="12:21" x14ac:dyDescent="0.3">
      <c r="L39" t="s">
        <v>25</v>
      </c>
      <c r="M39">
        <f>IF(L39="Yes",1,0)</f>
        <v>1</v>
      </c>
      <c r="N39">
        <v>5</v>
      </c>
      <c r="O39">
        <v>4</v>
      </c>
      <c r="P39">
        <v>7</v>
      </c>
      <c r="Q39">
        <v>6</v>
      </c>
      <c r="R39">
        <v>1</v>
      </c>
      <c r="S39">
        <v>2</v>
      </c>
      <c r="T39">
        <v>3</v>
      </c>
      <c r="U39" t="s">
        <v>25</v>
      </c>
    </row>
    <row r="40" spans="12:21" x14ac:dyDescent="0.3">
      <c r="L40" t="s">
        <v>25</v>
      </c>
      <c r="M40">
        <f>IF(L40="Yes",1,0)</f>
        <v>1</v>
      </c>
      <c r="N40">
        <v>2</v>
      </c>
      <c r="O40">
        <v>4</v>
      </c>
      <c r="P40">
        <v>7</v>
      </c>
      <c r="Q40">
        <v>5</v>
      </c>
      <c r="R40">
        <v>3</v>
      </c>
      <c r="S40">
        <v>1</v>
      </c>
      <c r="T40">
        <v>6</v>
      </c>
      <c r="U40" t="s">
        <v>25</v>
      </c>
    </row>
    <row r="41" spans="12:21" x14ac:dyDescent="0.3">
      <c r="L41" t="s">
        <v>25</v>
      </c>
      <c r="M41">
        <f>IF(L41="Yes",1,0)</f>
        <v>1</v>
      </c>
      <c r="N41">
        <v>4</v>
      </c>
      <c r="O41">
        <v>3</v>
      </c>
      <c r="P41">
        <v>5</v>
      </c>
      <c r="Q41">
        <v>7</v>
      </c>
      <c r="R41">
        <v>2</v>
      </c>
      <c r="S41">
        <v>1</v>
      </c>
      <c r="T41">
        <v>6</v>
      </c>
      <c r="U41" t="s">
        <v>25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A1C3-6524-4C71-937D-88F13F149FD2}">
  <dimension ref="A3:B31"/>
  <sheetViews>
    <sheetView topLeftCell="A6" workbookViewId="0">
      <selection activeCell="C30" sqref="C30"/>
    </sheetView>
  </sheetViews>
  <sheetFormatPr defaultRowHeight="14.4" x14ac:dyDescent="0.3"/>
  <cols>
    <col min="1" max="1" width="17.6640625" bestFit="1" customWidth="1"/>
    <col min="2" max="2" width="21.5546875" bestFit="1" customWidth="1"/>
  </cols>
  <sheetData>
    <row r="3" spans="1:2" x14ac:dyDescent="0.3">
      <c r="A3" s="3" t="s">
        <v>81</v>
      </c>
      <c r="B3" t="s">
        <v>96</v>
      </c>
    </row>
    <row r="4" spans="1:2" x14ac:dyDescent="0.3">
      <c r="A4" s="4" t="s">
        <v>27</v>
      </c>
      <c r="B4">
        <v>30</v>
      </c>
    </row>
    <row r="5" spans="1:2" x14ac:dyDescent="0.3">
      <c r="A5" s="4" t="s">
        <v>43</v>
      </c>
      <c r="B5">
        <v>8</v>
      </c>
    </row>
    <row r="6" spans="1:2" x14ac:dyDescent="0.3">
      <c r="A6" s="4" t="s">
        <v>62</v>
      </c>
      <c r="B6">
        <v>2</v>
      </c>
    </row>
    <row r="7" spans="1:2" x14ac:dyDescent="0.3">
      <c r="A7" s="4" t="s">
        <v>83</v>
      </c>
      <c r="B7">
        <v>40</v>
      </c>
    </row>
    <row r="11" spans="1:2" x14ac:dyDescent="0.3">
      <c r="A11" s="3" t="s">
        <v>81</v>
      </c>
      <c r="B11" t="s">
        <v>95</v>
      </c>
    </row>
    <row r="12" spans="1:2" x14ac:dyDescent="0.3">
      <c r="A12" s="4" t="s">
        <v>34</v>
      </c>
      <c r="B12">
        <v>24</v>
      </c>
    </row>
    <row r="13" spans="1:2" x14ac:dyDescent="0.3">
      <c r="A13" s="4" t="s">
        <v>56</v>
      </c>
      <c r="B13">
        <v>13</v>
      </c>
    </row>
    <row r="14" spans="1:2" x14ac:dyDescent="0.3">
      <c r="A14" s="4" t="s">
        <v>50</v>
      </c>
      <c r="B14">
        <v>3</v>
      </c>
    </row>
    <row r="15" spans="1:2" x14ac:dyDescent="0.3">
      <c r="A15" s="4" t="s">
        <v>83</v>
      </c>
      <c r="B15">
        <v>40</v>
      </c>
    </row>
    <row r="19" spans="1:2" x14ac:dyDescent="0.3">
      <c r="A19" s="3" t="s">
        <v>81</v>
      </c>
      <c r="B19" t="s">
        <v>94</v>
      </c>
    </row>
    <row r="20" spans="1:2" x14ac:dyDescent="0.3">
      <c r="A20" s="4" t="s">
        <v>51</v>
      </c>
      <c r="B20">
        <v>26</v>
      </c>
    </row>
    <row r="21" spans="1:2" x14ac:dyDescent="0.3">
      <c r="A21" s="4" t="s">
        <v>35</v>
      </c>
      <c r="B21">
        <v>13</v>
      </c>
    </row>
    <row r="22" spans="1:2" x14ac:dyDescent="0.3">
      <c r="A22" s="4" t="s">
        <v>57</v>
      </c>
      <c r="B22">
        <v>1</v>
      </c>
    </row>
    <row r="23" spans="1:2" x14ac:dyDescent="0.3">
      <c r="A23" s="4" t="s">
        <v>83</v>
      </c>
      <c r="B23">
        <v>40</v>
      </c>
    </row>
    <row r="27" spans="1:2" x14ac:dyDescent="0.3">
      <c r="A27" s="3" t="s">
        <v>81</v>
      </c>
      <c r="B27" t="s">
        <v>93</v>
      </c>
    </row>
    <row r="28" spans="1:2" x14ac:dyDescent="0.3">
      <c r="A28" s="4" t="s">
        <v>36</v>
      </c>
      <c r="B28">
        <v>18</v>
      </c>
    </row>
    <row r="29" spans="1:2" x14ac:dyDescent="0.3">
      <c r="A29" s="4" t="s">
        <v>44</v>
      </c>
      <c r="B29">
        <v>3</v>
      </c>
    </row>
    <row r="30" spans="1:2" x14ac:dyDescent="0.3">
      <c r="A30" s="4" t="s">
        <v>59</v>
      </c>
      <c r="B30">
        <v>19</v>
      </c>
    </row>
    <row r="31" spans="1:2" x14ac:dyDescent="0.3">
      <c r="A31" s="4" t="s">
        <v>83</v>
      </c>
      <c r="B31">
        <v>40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1873-1D93-4BE2-A3E9-E5A8831DB55A}">
  <dimension ref="A1:K41"/>
  <sheetViews>
    <sheetView workbookViewId="0">
      <selection activeCell="M7" sqref="M7"/>
    </sheetView>
  </sheetViews>
  <sheetFormatPr defaultRowHeight="14.4" x14ac:dyDescent="0.3"/>
  <cols>
    <col min="1" max="1" width="19.21875" customWidth="1"/>
    <col min="2" max="2" width="18" customWidth="1"/>
    <col min="3" max="3" width="16.5546875" customWidth="1"/>
    <col min="4" max="4" width="16.44140625" customWidth="1"/>
    <col min="6" max="6" width="16.44140625" customWidth="1"/>
    <col min="7" max="7" width="17.33203125" customWidth="1"/>
    <col min="8" max="8" width="15.109375" customWidth="1"/>
    <col min="10" max="10" width="14" customWidth="1"/>
    <col min="11" max="11" width="10.77734375" bestFit="1" customWidth="1"/>
  </cols>
  <sheetData>
    <row r="1" spans="1:9" x14ac:dyDescent="0.3">
      <c r="A1" t="s">
        <v>19</v>
      </c>
      <c r="B1" t="s">
        <v>20</v>
      </c>
      <c r="C1" t="s">
        <v>21</v>
      </c>
      <c r="D1" t="s">
        <v>22</v>
      </c>
      <c r="F1" s="7" t="s">
        <v>99</v>
      </c>
      <c r="G1" s="7" t="s">
        <v>100</v>
      </c>
      <c r="H1" s="7" t="s">
        <v>98</v>
      </c>
      <c r="I1" s="5" t="s">
        <v>106</v>
      </c>
    </row>
    <row r="2" spans="1:9" x14ac:dyDescent="0.3">
      <c r="A2" t="s">
        <v>27</v>
      </c>
      <c r="B2" t="s">
        <v>34</v>
      </c>
      <c r="C2" t="s">
        <v>35</v>
      </c>
      <c r="D2" t="s">
        <v>36</v>
      </c>
      <c r="F2" s="8" t="s">
        <v>49</v>
      </c>
      <c r="G2" s="8" t="s">
        <v>27</v>
      </c>
      <c r="H2" s="8" t="s">
        <v>63</v>
      </c>
      <c r="I2" s="6">
        <v>30</v>
      </c>
    </row>
    <row r="3" spans="1:9" x14ac:dyDescent="0.3">
      <c r="A3" t="s">
        <v>43</v>
      </c>
      <c r="B3" t="s">
        <v>34</v>
      </c>
      <c r="C3" t="s">
        <v>35</v>
      </c>
      <c r="D3" t="s">
        <v>44</v>
      </c>
      <c r="F3" s="8" t="s">
        <v>49</v>
      </c>
      <c r="G3" s="8" t="s">
        <v>43</v>
      </c>
      <c r="H3" s="8" t="s">
        <v>53</v>
      </c>
      <c r="I3" s="6">
        <v>8</v>
      </c>
    </row>
    <row r="4" spans="1:9" x14ac:dyDescent="0.3">
      <c r="A4" t="s">
        <v>27</v>
      </c>
      <c r="B4" t="s">
        <v>50</v>
      </c>
      <c r="C4" t="s">
        <v>51</v>
      </c>
      <c r="D4" t="s">
        <v>36</v>
      </c>
      <c r="F4" s="8" t="s">
        <v>49</v>
      </c>
      <c r="G4" s="8" t="s">
        <v>62</v>
      </c>
      <c r="H4" s="8" t="s">
        <v>62</v>
      </c>
      <c r="I4" s="6">
        <v>2</v>
      </c>
    </row>
    <row r="5" spans="1:9" x14ac:dyDescent="0.3">
      <c r="A5" t="s">
        <v>43</v>
      </c>
      <c r="B5" t="s">
        <v>56</v>
      </c>
      <c r="C5" t="s">
        <v>57</v>
      </c>
      <c r="D5" t="s">
        <v>44</v>
      </c>
      <c r="F5" s="8" t="s">
        <v>101</v>
      </c>
      <c r="G5" s="8" t="s">
        <v>34</v>
      </c>
      <c r="H5" s="8" t="s">
        <v>63</v>
      </c>
      <c r="I5" s="6">
        <v>24</v>
      </c>
    </row>
    <row r="6" spans="1:9" x14ac:dyDescent="0.3">
      <c r="A6" t="s">
        <v>27</v>
      </c>
      <c r="B6" t="s">
        <v>34</v>
      </c>
      <c r="C6" t="s">
        <v>35</v>
      </c>
      <c r="D6" t="s">
        <v>59</v>
      </c>
      <c r="F6" s="8" t="s">
        <v>101</v>
      </c>
      <c r="G6" s="8" t="s">
        <v>50</v>
      </c>
      <c r="H6" s="8" t="s">
        <v>104</v>
      </c>
      <c r="I6" s="6">
        <v>13</v>
      </c>
    </row>
    <row r="7" spans="1:9" x14ac:dyDescent="0.3">
      <c r="A7" t="s">
        <v>62</v>
      </c>
      <c r="B7" t="s">
        <v>56</v>
      </c>
      <c r="C7" t="s">
        <v>35</v>
      </c>
      <c r="D7" t="s">
        <v>59</v>
      </c>
      <c r="F7" s="8" t="s">
        <v>101</v>
      </c>
      <c r="G7" s="8" t="s">
        <v>56</v>
      </c>
      <c r="H7" s="8" t="s">
        <v>105</v>
      </c>
      <c r="I7" s="6">
        <v>3</v>
      </c>
    </row>
    <row r="8" spans="1:9" x14ac:dyDescent="0.3">
      <c r="A8" t="s">
        <v>27</v>
      </c>
      <c r="B8" t="s">
        <v>34</v>
      </c>
      <c r="C8" t="s">
        <v>51</v>
      </c>
      <c r="D8" t="s">
        <v>44</v>
      </c>
      <c r="F8" s="8" t="s">
        <v>102</v>
      </c>
      <c r="G8" s="8" t="s">
        <v>35</v>
      </c>
      <c r="H8" s="8" t="s">
        <v>105</v>
      </c>
      <c r="I8" s="6">
        <v>26</v>
      </c>
    </row>
    <row r="9" spans="1:9" x14ac:dyDescent="0.3">
      <c r="A9" t="s">
        <v>27</v>
      </c>
      <c r="B9" t="s">
        <v>34</v>
      </c>
      <c r="C9" t="s">
        <v>51</v>
      </c>
      <c r="D9" t="s">
        <v>59</v>
      </c>
      <c r="F9" s="8" t="s">
        <v>102</v>
      </c>
      <c r="G9" s="8" t="s">
        <v>51</v>
      </c>
      <c r="H9" s="8" t="s">
        <v>53</v>
      </c>
      <c r="I9" s="6">
        <v>13</v>
      </c>
    </row>
    <row r="10" spans="1:9" x14ac:dyDescent="0.3">
      <c r="A10" t="s">
        <v>27</v>
      </c>
      <c r="B10" t="s">
        <v>56</v>
      </c>
      <c r="C10" t="s">
        <v>35</v>
      </c>
      <c r="D10" t="s">
        <v>36</v>
      </c>
      <c r="F10" s="8" t="s">
        <v>102</v>
      </c>
      <c r="G10" s="8" t="s">
        <v>57</v>
      </c>
      <c r="H10" s="8" t="s">
        <v>104</v>
      </c>
      <c r="I10" s="6">
        <v>1</v>
      </c>
    </row>
    <row r="11" spans="1:9" x14ac:dyDescent="0.3">
      <c r="A11" t="s">
        <v>27</v>
      </c>
      <c r="B11" t="s">
        <v>56</v>
      </c>
      <c r="C11" t="s">
        <v>51</v>
      </c>
      <c r="D11" t="s">
        <v>36</v>
      </c>
      <c r="F11" s="8" t="s">
        <v>103</v>
      </c>
      <c r="G11" s="8" t="s">
        <v>36</v>
      </c>
      <c r="H11" s="8" t="s">
        <v>53</v>
      </c>
      <c r="I11" s="6">
        <v>18</v>
      </c>
    </row>
    <row r="12" spans="1:9" x14ac:dyDescent="0.3">
      <c r="A12" t="s">
        <v>27</v>
      </c>
      <c r="B12" t="s">
        <v>34</v>
      </c>
      <c r="C12" t="s">
        <v>51</v>
      </c>
      <c r="D12" t="s">
        <v>59</v>
      </c>
      <c r="F12" s="8" t="s">
        <v>103</v>
      </c>
      <c r="G12" s="8" t="s">
        <v>44</v>
      </c>
      <c r="H12" s="8" t="s">
        <v>63</v>
      </c>
      <c r="I12" s="6">
        <v>3</v>
      </c>
    </row>
    <row r="13" spans="1:9" x14ac:dyDescent="0.3">
      <c r="A13" t="s">
        <v>27</v>
      </c>
      <c r="B13" t="s">
        <v>56</v>
      </c>
      <c r="C13" t="s">
        <v>51</v>
      </c>
      <c r="D13" t="s">
        <v>36</v>
      </c>
      <c r="F13" s="8" t="s">
        <v>103</v>
      </c>
      <c r="G13" s="8" t="s">
        <v>59</v>
      </c>
      <c r="H13" s="8" t="s">
        <v>105</v>
      </c>
      <c r="I13" s="6">
        <v>19</v>
      </c>
    </row>
    <row r="14" spans="1:9" x14ac:dyDescent="0.3">
      <c r="A14" t="s">
        <v>43</v>
      </c>
      <c r="B14" t="s">
        <v>34</v>
      </c>
      <c r="C14" t="s">
        <v>35</v>
      </c>
      <c r="D14" t="s">
        <v>59</v>
      </c>
    </row>
    <row r="15" spans="1:9" x14ac:dyDescent="0.3">
      <c r="A15" t="s">
        <v>27</v>
      </c>
      <c r="B15" t="s">
        <v>56</v>
      </c>
      <c r="C15" t="s">
        <v>51</v>
      </c>
      <c r="D15" t="s">
        <v>59</v>
      </c>
    </row>
    <row r="16" spans="1:9" x14ac:dyDescent="0.3">
      <c r="A16" t="s">
        <v>43</v>
      </c>
      <c r="B16" t="s">
        <v>34</v>
      </c>
      <c r="C16" t="s">
        <v>51</v>
      </c>
      <c r="D16" t="s">
        <v>59</v>
      </c>
      <c r="F16" s="3" t="s">
        <v>107</v>
      </c>
      <c r="G16" s="3" t="s">
        <v>97</v>
      </c>
    </row>
    <row r="17" spans="1:11" x14ac:dyDescent="0.3">
      <c r="A17" t="s">
        <v>27</v>
      </c>
      <c r="B17" t="s">
        <v>56</v>
      </c>
      <c r="C17" t="s">
        <v>51</v>
      </c>
      <c r="D17" t="s">
        <v>59</v>
      </c>
      <c r="F17" s="3" t="s">
        <v>81</v>
      </c>
      <c r="G17" t="s">
        <v>102</v>
      </c>
      <c r="H17" t="s">
        <v>49</v>
      </c>
      <c r="I17" t="s">
        <v>103</v>
      </c>
      <c r="J17" t="s">
        <v>101</v>
      </c>
      <c r="K17" t="s">
        <v>83</v>
      </c>
    </row>
    <row r="18" spans="1:11" x14ac:dyDescent="0.3">
      <c r="A18" t="s">
        <v>27</v>
      </c>
      <c r="B18" t="s">
        <v>56</v>
      </c>
      <c r="C18" t="s">
        <v>51</v>
      </c>
      <c r="D18" t="s">
        <v>59</v>
      </c>
      <c r="F18" s="4" t="s">
        <v>63</v>
      </c>
      <c r="H18">
        <v>30</v>
      </c>
      <c r="I18">
        <v>3</v>
      </c>
      <c r="J18">
        <v>24</v>
      </c>
      <c r="K18">
        <v>57</v>
      </c>
    </row>
    <row r="19" spans="1:11" x14ac:dyDescent="0.3">
      <c r="A19" t="s">
        <v>27</v>
      </c>
      <c r="B19" t="s">
        <v>34</v>
      </c>
      <c r="C19" t="s">
        <v>51</v>
      </c>
      <c r="D19" t="s">
        <v>59</v>
      </c>
      <c r="F19" s="4" t="s">
        <v>53</v>
      </c>
      <c r="G19">
        <v>13</v>
      </c>
      <c r="H19">
        <v>8</v>
      </c>
      <c r="I19">
        <v>18</v>
      </c>
      <c r="K19">
        <v>39</v>
      </c>
    </row>
    <row r="20" spans="1:11" x14ac:dyDescent="0.3">
      <c r="A20" t="s">
        <v>27</v>
      </c>
      <c r="B20" t="s">
        <v>34</v>
      </c>
      <c r="C20" t="s">
        <v>51</v>
      </c>
      <c r="D20" t="s">
        <v>59</v>
      </c>
      <c r="F20" s="4" t="s">
        <v>62</v>
      </c>
      <c r="H20">
        <v>2</v>
      </c>
      <c r="K20">
        <v>2</v>
      </c>
    </row>
    <row r="21" spans="1:11" x14ac:dyDescent="0.3">
      <c r="A21" t="s">
        <v>27</v>
      </c>
      <c r="B21" t="s">
        <v>56</v>
      </c>
      <c r="C21" t="s">
        <v>51</v>
      </c>
      <c r="D21" t="s">
        <v>59</v>
      </c>
      <c r="F21" s="4" t="s">
        <v>105</v>
      </c>
      <c r="G21">
        <v>26</v>
      </c>
      <c r="I21">
        <v>19</v>
      </c>
      <c r="J21">
        <v>3</v>
      </c>
      <c r="K21">
        <v>48</v>
      </c>
    </row>
    <row r="22" spans="1:11" x14ac:dyDescent="0.3">
      <c r="A22" t="s">
        <v>27</v>
      </c>
      <c r="B22" t="s">
        <v>34</v>
      </c>
      <c r="C22" t="s">
        <v>51</v>
      </c>
      <c r="D22" t="s">
        <v>36</v>
      </c>
      <c r="F22" s="4" t="s">
        <v>104</v>
      </c>
      <c r="G22">
        <v>1</v>
      </c>
      <c r="J22">
        <v>13</v>
      </c>
      <c r="K22">
        <v>14</v>
      </c>
    </row>
    <row r="23" spans="1:11" x14ac:dyDescent="0.3">
      <c r="A23" t="s">
        <v>27</v>
      </c>
      <c r="B23" t="s">
        <v>34</v>
      </c>
      <c r="C23" t="s">
        <v>51</v>
      </c>
      <c r="D23" t="s">
        <v>59</v>
      </c>
      <c r="F23" s="4" t="s">
        <v>83</v>
      </c>
      <c r="G23">
        <v>40</v>
      </c>
      <c r="H23">
        <v>40</v>
      </c>
      <c r="I23">
        <v>40</v>
      </c>
      <c r="J23">
        <v>40</v>
      </c>
      <c r="K23">
        <v>160</v>
      </c>
    </row>
    <row r="24" spans="1:11" x14ac:dyDescent="0.3">
      <c r="A24" t="s">
        <v>27</v>
      </c>
      <c r="B24" t="s">
        <v>34</v>
      </c>
      <c r="C24" t="s">
        <v>51</v>
      </c>
      <c r="D24" t="s">
        <v>59</v>
      </c>
    </row>
    <row r="25" spans="1:11" x14ac:dyDescent="0.3">
      <c r="A25" t="s">
        <v>62</v>
      </c>
      <c r="B25" t="s">
        <v>34</v>
      </c>
      <c r="C25" t="s">
        <v>51</v>
      </c>
      <c r="D25" t="s">
        <v>59</v>
      </c>
    </row>
    <row r="26" spans="1:11" x14ac:dyDescent="0.3">
      <c r="A26" t="s">
        <v>27</v>
      </c>
      <c r="B26" t="s">
        <v>34</v>
      </c>
      <c r="C26" t="s">
        <v>51</v>
      </c>
      <c r="D26" t="s">
        <v>59</v>
      </c>
    </row>
    <row r="27" spans="1:11" x14ac:dyDescent="0.3">
      <c r="A27" t="s">
        <v>27</v>
      </c>
      <c r="B27" t="s">
        <v>34</v>
      </c>
      <c r="C27" t="s">
        <v>51</v>
      </c>
      <c r="D27" t="s">
        <v>36</v>
      </c>
    </row>
    <row r="28" spans="1:11" x14ac:dyDescent="0.3">
      <c r="A28" t="s">
        <v>43</v>
      </c>
      <c r="B28" t="s">
        <v>56</v>
      </c>
      <c r="C28" t="s">
        <v>51</v>
      </c>
      <c r="D28" t="s">
        <v>36</v>
      </c>
    </row>
    <row r="29" spans="1:11" x14ac:dyDescent="0.3">
      <c r="A29" t="s">
        <v>27</v>
      </c>
      <c r="B29" t="s">
        <v>56</v>
      </c>
      <c r="C29" t="s">
        <v>35</v>
      </c>
      <c r="D29" t="s">
        <v>36</v>
      </c>
    </row>
    <row r="30" spans="1:11" x14ac:dyDescent="0.3">
      <c r="A30" t="s">
        <v>27</v>
      </c>
      <c r="B30" t="s">
        <v>34</v>
      </c>
      <c r="C30" t="s">
        <v>51</v>
      </c>
      <c r="D30" t="s">
        <v>59</v>
      </c>
    </row>
    <row r="31" spans="1:11" x14ac:dyDescent="0.3">
      <c r="A31" t="s">
        <v>27</v>
      </c>
      <c r="B31" t="s">
        <v>50</v>
      </c>
      <c r="C31" t="s">
        <v>35</v>
      </c>
      <c r="D31" t="s">
        <v>36</v>
      </c>
    </row>
    <row r="32" spans="1:11" x14ac:dyDescent="0.3">
      <c r="A32" t="s">
        <v>27</v>
      </c>
      <c r="B32" t="s">
        <v>50</v>
      </c>
      <c r="C32" t="s">
        <v>35</v>
      </c>
      <c r="D32" t="s">
        <v>36</v>
      </c>
    </row>
    <row r="33" spans="1:4" x14ac:dyDescent="0.3">
      <c r="A33" t="s">
        <v>27</v>
      </c>
      <c r="B33" t="s">
        <v>34</v>
      </c>
      <c r="C33" t="s">
        <v>51</v>
      </c>
      <c r="D33" t="s">
        <v>36</v>
      </c>
    </row>
    <row r="34" spans="1:4" x14ac:dyDescent="0.3">
      <c r="A34" t="s">
        <v>27</v>
      </c>
      <c r="B34" t="s">
        <v>56</v>
      </c>
      <c r="C34" t="s">
        <v>51</v>
      </c>
      <c r="D34" t="s">
        <v>36</v>
      </c>
    </row>
    <row r="35" spans="1:4" x14ac:dyDescent="0.3">
      <c r="A35" t="s">
        <v>43</v>
      </c>
      <c r="B35" t="s">
        <v>34</v>
      </c>
      <c r="C35" t="s">
        <v>35</v>
      </c>
      <c r="D35" t="s">
        <v>59</v>
      </c>
    </row>
    <row r="36" spans="1:4" x14ac:dyDescent="0.3">
      <c r="A36" t="s">
        <v>27</v>
      </c>
      <c r="B36" t="s">
        <v>34</v>
      </c>
      <c r="C36" t="s">
        <v>35</v>
      </c>
      <c r="D36" t="s">
        <v>36</v>
      </c>
    </row>
    <row r="37" spans="1:4" x14ac:dyDescent="0.3">
      <c r="A37" t="s">
        <v>27</v>
      </c>
      <c r="B37" t="s">
        <v>34</v>
      </c>
      <c r="C37" t="s">
        <v>51</v>
      </c>
      <c r="D37" t="s">
        <v>36</v>
      </c>
    </row>
    <row r="38" spans="1:4" x14ac:dyDescent="0.3">
      <c r="A38" t="s">
        <v>27</v>
      </c>
      <c r="B38" t="s">
        <v>34</v>
      </c>
      <c r="C38" t="s">
        <v>35</v>
      </c>
      <c r="D38" t="s">
        <v>36</v>
      </c>
    </row>
    <row r="39" spans="1:4" x14ac:dyDescent="0.3">
      <c r="A39" t="s">
        <v>43</v>
      </c>
      <c r="B39" t="s">
        <v>34</v>
      </c>
      <c r="C39" t="s">
        <v>35</v>
      </c>
      <c r="D39" t="s">
        <v>44</v>
      </c>
    </row>
    <row r="40" spans="1:4" x14ac:dyDescent="0.3">
      <c r="A40" t="s">
        <v>27</v>
      </c>
      <c r="B40" t="s">
        <v>50</v>
      </c>
      <c r="C40" t="s">
        <v>51</v>
      </c>
      <c r="D40" t="s">
        <v>36</v>
      </c>
    </row>
    <row r="41" spans="1:4" x14ac:dyDescent="0.3">
      <c r="A41" t="s">
        <v>43</v>
      </c>
      <c r="B41" t="s">
        <v>56</v>
      </c>
      <c r="C41" t="s">
        <v>57</v>
      </c>
      <c r="D41" t="s">
        <v>44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B6B3-B699-4C70-A5F0-C34AACAEA33F}">
  <dimension ref="A3:B7"/>
  <sheetViews>
    <sheetView workbookViewId="0">
      <selection activeCell="F6" sqref="F6:J6"/>
    </sheetView>
  </sheetViews>
  <sheetFormatPr defaultRowHeight="14.4" x14ac:dyDescent="0.3"/>
  <cols>
    <col min="1" max="1" width="14.109375" bestFit="1" customWidth="1"/>
    <col min="2" max="2" width="38" bestFit="1" customWidth="1"/>
  </cols>
  <sheetData>
    <row r="3" spans="1:2" x14ac:dyDescent="0.3">
      <c r="A3" s="3" t="s">
        <v>81</v>
      </c>
      <c r="B3" t="s">
        <v>108</v>
      </c>
    </row>
    <row r="4" spans="1:2" x14ac:dyDescent="0.3">
      <c r="A4" s="4" t="s">
        <v>66</v>
      </c>
      <c r="B4">
        <v>3</v>
      </c>
    </row>
    <row r="5" spans="1:2" x14ac:dyDescent="0.3">
      <c r="A5" s="4" t="s">
        <v>42</v>
      </c>
      <c r="B5">
        <v>13</v>
      </c>
    </row>
    <row r="6" spans="1:2" x14ac:dyDescent="0.3">
      <c r="A6" s="4" t="s">
        <v>33</v>
      </c>
      <c r="B6">
        <v>24</v>
      </c>
    </row>
    <row r="7" spans="1:2" x14ac:dyDescent="0.3">
      <c r="A7" s="4" t="s">
        <v>83</v>
      </c>
      <c r="B7">
        <v>40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F165-6C9C-4914-A078-B77721011180}">
  <dimension ref="A3:B8"/>
  <sheetViews>
    <sheetView workbookViewId="0">
      <selection activeCell="D20" sqref="D20"/>
    </sheetView>
  </sheetViews>
  <sheetFormatPr defaultRowHeight="14.4" x14ac:dyDescent="0.3"/>
  <cols>
    <col min="1" max="1" width="23.77734375" bestFit="1" customWidth="1"/>
    <col min="2" max="2" width="14.6640625" bestFit="1" customWidth="1"/>
  </cols>
  <sheetData>
    <row r="3" spans="1:2" x14ac:dyDescent="0.3">
      <c r="A3" s="3" t="s">
        <v>81</v>
      </c>
      <c r="B3" t="s">
        <v>109</v>
      </c>
    </row>
    <row r="4" spans="1:2" x14ac:dyDescent="0.3">
      <c r="A4" s="4" t="s">
        <v>45</v>
      </c>
      <c r="B4">
        <v>16</v>
      </c>
    </row>
    <row r="5" spans="1:2" x14ac:dyDescent="0.3">
      <c r="A5" s="4" t="s">
        <v>58</v>
      </c>
      <c r="B5">
        <v>4</v>
      </c>
    </row>
    <row r="6" spans="1:2" x14ac:dyDescent="0.3">
      <c r="A6" s="4" t="s">
        <v>37</v>
      </c>
      <c r="B6">
        <v>14</v>
      </c>
    </row>
    <row r="7" spans="1:2" x14ac:dyDescent="0.3">
      <c r="A7" s="4" t="s">
        <v>52</v>
      </c>
      <c r="B7">
        <v>6</v>
      </c>
    </row>
    <row r="8" spans="1:2" x14ac:dyDescent="0.3">
      <c r="A8" s="4" t="s">
        <v>83</v>
      </c>
      <c r="B8">
        <v>40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4F20-5EC6-4B86-9D6E-C054EDBD1107}">
  <dimension ref="A1:F42"/>
  <sheetViews>
    <sheetView workbookViewId="0">
      <selection activeCell="F9" sqref="F9"/>
    </sheetView>
  </sheetViews>
  <sheetFormatPr defaultRowHeight="14.4" x14ac:dyDescent="0.3"/>
  <cols>
    <col min="1" max="1" width="15.5546875" customWidth="1"/>
    <col min="2" max="2" width="19.109375" customWidth="1"/>
    <col min="3" max="3" width="19.5546875" customWidth="1"/>
    <col min="5" max="5" width="30" customWidth="1"/>
  </cols>
  <sheetData>
    <row r="1" spans="1:6" x14ac:dyDescent="0.3">
      <c r="A1" t="s">
        <v>14</v>
      </c>
      <c r="B1" t="s">
        <v>112</v>
      </c>
      <c r="C1" t="s">
        <v>113</v>
      </c>
    </row>
    <row r="2" spans="1:6" x14ac:dyDescent="0.3">
      <c r="A2">
        <v>2</v>
      </c>
      <c r="B2">
        <v>12</v>
      </c>
      <c r="C2">
        <f>SUM(A2*B2)</f>
        <v>24</v>
      </c>
    </row>
    <row r="3" spans="1:6" x14ac:dyDescent="0.3">
      <c r="A3">
        <v>6</v>
      </c>
      <c r="B3">
        <v>52</v>
      </c>
      <c r="C3">
        <f t="shared" ref="C3:C41" si="0">SUM(A3*B3)</f>
        <v>312</v>
      </c>
    </row>
    <row r="4" spans="1:6" x14ac:dyDescent="0.3">
      <c r="A4">
        <v>4</v>
      </c>
      <c r="B4">
        <v>365</v>
      </c>
      <c r="C4">
        <f t="shared" si="0"/>
        <v>1460</v>
      </c>
      <c r="E4" t="s">
        <v>110</v>
      </c>
      <c r="F4">
        <f>AVERAGE(A1:A41)</f>
        <v>2.9750000000000001</v>
      </c>
    </row>
    <row r="5" spans="1:6" x14ac:dyDescent="0.3">
      <c r="A5">
        <v>0.5</v>
      </c>
      <c r="B5">
        <v>365</v>
      </c>
      <c r="C5">
        <f t="shared" si="0"/>
        <v>182.5</v>
      </c>
    </row>
    <row r="6" spans="1:6" x14ac:dyDescent="0.3">
      <c r="A6">
        <v>0.5</v>
      </c>
      <c r="B6">
        <v>365</v>
      </c>
      <c r="C6">
        <f t="shared" si="0"/>
        <v>182.5</v>
      </c>
      <c r="E6" t="s">
        <v>111</v>
      </c>
      <c r="F6">
        <f>AVERAGE(B2:B42)</f>
        <v>54.300000000000004</v>
      </c>
    </row>
    <row r="7" spans="1:6" x14ac:dyDescent="0.3">
      <c r="A7">
        <v>2</v>
      </c>
      <c r="B7">
        <v>365</v>
      </c>
      <c r="C7">
        <f t="shared" si="0"/>
        <v>730</v>
      </c>
    </row>
    <row r="8" spans="1:6" x14ac:dyDescent="0.3">
      <c r="A8">
        <v>4</v>
      </c>
      <c r="B8">
        <v>12</v>
      </c>
      <c r="C8">
        <f t="shared" si="0"/>
        <v>48</v>
      </c>
      <c r="E8" t="s">
        <v>114</v>
      </c>
      <c r="F8">
        <f>AVERAGE(C1:C41)</f>
        <v>119.47499999999999</v>
      </c>
    </row>
    <row r="9" spans="1:6" x14ac:dyDescent="0.3">
      <c r="A9">
        <v>4</v>
      </c>
      <c r="B9">
        <v>12</v>
      </c>
      <c r="C9">
        <f t="shared" si="0"/>
        <v>48</v>
      </c>
    </row>
    <row r="10" spans="1:6" x14ac:dyDescent="0.3">
      <c r="A10">
        <v>2</v>
      </c>
      <c r="B10">
        <v>52</v>
      </c>
      <c r="C10">
        <f t="shared" si="0"/>
        <v>104</v>
      </c>
    </row>
    <row r="11" spans="1:6" x14ac:dyDescent="0.3">
      <c r="A11">
        <v>4</v>
      </c>
      <c r="B11">
        <v>12</v>
      </c>
      <c r="C11">
        <f t="shared" si="0"/>
        <v>48</v>
      </c>
    </row>
    <row r="12" spans="1:6" x14ac:dyDescent="0.3">
      <c r="A12">
        <v>4</v>
      </c>
      <c r="B12">
        <v>12</v>
      </c>
      <c r="C12">
        <f t="shared" si="0"/>
        <v>48</v>
      </c>
    </row>
    <row r="13" spans="1:6" x14ac:dyDescent="0.3">
      <c r="A13">
        <v>2</v>
      </c>
      <c r="B13">
        <v>12</v>
      </c>
      <c r="C13">
        <f t="shared" si="0"/>
        <v>24</v>
      </c>
    </row>
    <row r="14" spans="1:6" x14ac:dyDescent="0.3">
      <c r="A14">
        <v>2</v>
      </c>
      <c r="B14">
        <v>52</v>
      </c>
      <c r="C14">
        <f t="shared" si="0"/>
        <v>104</v>
      </c>
    </row>
    <row r="15" spans="1:6" x14ac:dyDescent="0.3">
      <c r="A15">
        <v>2</v>
      </c>
      <c r="B15">
        <v>12</v>
      </c>
      <c r="C15">
        <f t="shared" si="0"/>
        <v>24</v>
      </c>
    </row>
    <row r="16" spans="1:6" x14ac:dyDescent="0.3">
      <c r="A16">
        <v>2</v>
      </c>
      <c r="B16">
        <v>12</v>
      </c>
      <c r="C16">
        <f t="shared" si="0"/>
        <v>24</v>
      </c>
    </row>
    <row r="17" spans="1:3" x14ac:dyDescent="0.3">
      <c r="A17">
        <v>2</v>
      </c>
      <c r="B17">
        <v>12</v>
      </c>
      <c r="C17">
        <f t="shared" si="0"/>
        <v>24</v>
      </c>
    </row>
    <row r="18" spans="1:3" x14ac:dyDescent="0.3">
      <c r="A18">
        <v>2</v>
      </c>
      <c r="B18">
        <v>12</v>
      </c>
      <c r="C18">
        <f t="shared" si="0"/>
        <v>24</v>
      </c>
    </row>
    <row r="19" spans="1:3" x14ac:dyDescent="0.3">
      <c r="A19">
        <v>2</v>
      </c>
      <c r="B19">
        <v>12</v>
      </c>
      <c r="C19">
        <f t="shared" si="0"/>
        <v>24</v>
      </c>
    </row>
    <row r="20" spans="1:3" x14ac:dyDescent="0.3">
      <c r="A20">
        <v>2</v>
      </c>
      <c r="B20">
        <v>12</v>
      </c>
      <c r="C20">
        <f t="shared" si="0"/>
        <v>24</v>
      </c>
    </row>
    <row r="21" spans="1:3" x14ac:dyDescent="0.3">
      <c r="A21">
        <v>4</v>
      </c>
      <c r="B21">
        <v>12</v>
      </c>
      <c r="C21">
        <f t="shared" si="0"/>
        <v>48</v>
      </c>
    </row>
    <row r="22" spans="1:3" x14ac:dyDescent="0.3">
      <c r="A22">
        <v>4</v>
      </c>
      <c r="B22">
        <v>52</v>
      </c>
      <c r="C22">
        <f t="shared" si="0"/>
        <v>208</v>
      </c>
    </row>
    <row r="23" spans="1:3" x14ac:dyDescent="0.3">
      <c r="A23">
        <v>4</v>
      </c>
      <c r="B23">
        <v>12</v>
      </c>
      <c r="C23">
        <f t="shared" si="0"/>
        <v>48</v>
      </c>
    </row>
    <row r="24" spans="1:3" x14ac:dyDescent="0.3">
      <c r="A24">
        <v>4</v>
      </c>
      <c r="B24">
        <v>12</v>
      </c>
      <c r="C24">
        <f t="shared" si="0"/>
        <v>48</v>
      </c>
    </row>
    <row r="25" spans="1:3" x14ac:dyDescent="0.3">
      <c r="A25">
        <v>4</v>
      </c>
      <c r="B25">
        <v>52</v>
      </c>
      <c r="C25">
        <f t="shared" si="0"/>
        <v>208</v>
      </c>
    </row>
    <row r="26" spans="1:3" x14ac:dyDescent="0.3">
      <c r="A26">
        <v>4</v>
      </c>
      <c r="B26">
        <v>12</v>
      </c>
      <c r="C26">
        <f t="shared" si="0"/>
        <v>48</v>
      </c>
    </row>
    <row r="27" spans="1:3" x14ac:dyDescent="0.3">
      <c r="A27">
        <v>4</v>
      </c>
      <c r="B27">
        <v>12</v>
      </c>
      <c r="C27">
        <f t="shared" si="0"/>
        <v>48</v>
      </c>
    </row>
    <row r="28" spans="1:3" x14ac:dyDescent="0.3">
      <c r="A28">
        <v>4</v>
      </c>
      <c r="B28">
        <v>12</v>
      </c>
      <c r="C28">
        <f t="shared" si="0"/>
        <v>48</v>
      </c>
    </row>
    <row r="29" spans="1:3" x14ac:dyDescent="0.3">
      <c r="A29">
        <v>2</v>
      </c>
      <c r="B29">
        <v>12</v>
      </c>
      <c r="C29">
        <f t="shared" si="0"/>
        <v>24</v>
      </c>
    </row>
    <row r="30" spans="1:3" x14ac:dyDescent="0.3">
      <c r="A30">
        <v>2</v>
      </c>
      <c r="B30">
        <v>12</v>
      </c>
      <c r="C30">
        <f t="shared" si="0"/>
        <v>24</v>
      </c>
    </row>
    <row r="31" spans="1:3" x14ac:dyDescent="0.3">
      <c r="A31">
        <v>4</v>
      </c>
      <c r="B31">
        <v>12</v>
      </c>
      <c r="C31">
        <f t="shared" si="0"/>
        <v>48</v>
      </c>
    </row>
    <row r="32" spans="1:3" x14ac:dyDescent="0.3">
      <c r="A32">
        <v>2</v>
      </c>
      <c r="B32">
        <v>12</v>
      </c>
      <c r="C32">
        <f t="shared" si="0"/>
        <v>24</v>
      </c>
    </row>
    <row r="33" spans="1:3" x14ac:dyDescent="0.3">
      <c r="A33">
        <v>4</v>
      </c>
      <c r="B33">
        <v>12</v>
      </c>
      <c r="C33">
        <f t="shared" si="0"/>
        <v>48</v>
      </c>
    </row>
    <row r="34" spans="1:3" x14ac:dyDescent="0.3">
      <c r="A34">
        <v>4</v>
      </c>
      <c r="B34">
        <v>12</v>
      </c>
      <c r="C34">
        <f t="shared" si="0"/>
        <v>48</v>
      </c>
    </row>
    <row r="35" spans="1:3" x14ac:dyDescent="0.3">
      <c r="A35">
        <v>2</v>
      </c>
      <c r="B35">
        <v>12</v>
      </c>
      <c r="C35">
        <f t="shared" si="0"/>
        <v>24</v>
      </c>
    </row>
    <row r="36" spans="1:3" x14ac:dyDescent="0.3">
      <c r="A36">
        <v>2</v>
      </c>
      <c r="B36">
        <v>52</v>
      </c>
      <c r="C36">
        <f t="shared" si="0"/>
        <v>104</v>
      </c>
    </row>
    <row r="37" spans="1:3" x14ac:dyDescent="0.3">
      <c r="A37">
        <v>4</v>
      </c>
      <c r="B37">
        <v>12</v>
      </c>
      <c r="C37">
        <f t="shared" si="0"/>
        <v>48</v>
      </c>
    </row>
    <row r="38" spans="1:3" x14ac:dyDescent="0.3">
      <c r="A38">
        <v>2</v>
      </c>
      <c r="B38">
        <v>12</v>
      </c>
      <c r="C38">
        <f t="shared" si="0"/>
        <v>24</v>
      </c>
    </row>
    <row r="39" spans="1:3" x14ac:dyDescent="0.3">
      <c r="A39">
        <v>4</v>
      </c>
      <c r="B39">
        <v>12</v>
      </c>
      <c r="C39">
        <f t="shared" si="0"/>
        <v>48</v>
      </c>
    </row>
    <row r="40" spans="1:3" x14ac:dyDescent="0.3">
      <c r="A40">
        <v>2</v>
      </c>
      <c r="B40">
        <v>52</v>
      </c>
      <c r="C40">
        <f t="shared" si="0"/>
        <v>104</v>
      </c>
    </row>
    <row r="41" spans="1:3" x14ac:dyDescent="0.3">
      <c r="A41">
        <v>4</v>
      </c>
      <c r="B41">
        <v>12</v>
      </c>
      <c r="C41">
        <f t="shared" si="0"/>
        <v>48</v>
      </c>
    </row>
    <row r="42" spans="1:3" x14ac:dyDescent="0.3">
      <c r="A42">
        <f t="shared" ref="A42:B42" si="1">AVERAGE(A2:A41)</f>
        <v>2.9750000000000001</v>
      </c>
      <c r="B42">
        <f t="shared" si="1"/>
        <v>54.3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CC53-FC55-4836-BCB2-7151567ECF5B}">
  <dimension ref="A1:F42"/>
  <sheetViews>
    <sheetView workbookViewId="0">
      <selection activeCell="C1" sqref="C1:F4"/>
    </sheetView>
  </sheetViews>
  <sheetFormatPr defaultRowHeight="14.4" x14ac:dyDescent="0.3"/>
  <cols>
    <col min="1" max="1" width="10.109375" customWidth="1"/>
    <col min="3" max="3" width="26.77734375" customWidth="1"/>
    <col min="4" max="4" width="17" customWidth="1"/>
    <col min="5" max="5" width="14.21875" customWidth="1"/>
    <col min="6" max="6" width="39.109375" customWidth="1"/>
    <col min="7" max="7" width="14.5546875" customWidth="1"/>
    <col min="8" max="9" width="14.109375" customWidth="1"/>
  </cols>
  <sheetData>
    <row r="1" spans="1:6" x14ac:dyDescent="0.3">
      <c r="A1" t="s">
        <v>128</v>
      </c>
      <c r="C1" t="s">
        <v>116</v>
      </c>
      <c r="D1" t="s">
        <v>117</v>
      </c>
      <c r="E1" t="s">
        <v>106</v>
      </c>
      <c r="F1" t="s">
        <v>121</v>
      </c>
    </row>
    <row r="2" spans="1:6" x14ac:dyDescent="0.3">
      <c r="A2" t="s">
        <v>16</v>
      </c>
      <c r="C2" t="s">
        <v>119</v>
      </c>
      <c r="D2" t="s">
        <v>55</v>
      </c>
      <c r="E2">
        <v>3</v>
      </c>
      <c r="F2" t="s">
        <v>122</v>
      </c>
    </row>
    <row r="3" spans="1:6" x14ac:dyDescent="0.3">
      <c r="A3" t="s">
        <v>31</v>
      </c>
      <c r="C3" t="s">
        <v>118</v>
      </c>
      <c r="D3" t="s">
        <v>31</v>
      </c>
      <c r="E3">
        <v>32</v>
      </c>
      <c r="F3" t="s">
        <v>123</v>
      </c>
    </row>
    <row r="4" spans="1:6" x14ac:dyDescent="0.3">
      <c r="A4" t="s">
        <v>31</v>
      </c>
      <c r="C4" t="s">
        <v>120</v>
      </c>
      <c r="D4" t="s">
        <v>61</v>
      </c>
      <c r="E4">
        <v>5</v>
      </c>
      <c r="F4" t="s">
        <v>124</v>
      </c>
    </row>
    <row r="5" spans="1:6" x14ac:dyDescent="0.3">
      <c r="A5" t="s">
        <v>31</v>
      </c>
    </row>
    <row r="6" spans="1:6" x14ac:dyDescent="0.3">
      <c r="A6" t="s">
        <v>55</v>
      </c>
    </row>
    <row r="7" spans="1:6" x14ac:dyDescent="0.3">
      <c r="A7" t="s">
        <v>31</v>
      </c>
      <c r="C7" s="3" t="s">
        <v>81</v>
      </c>
      <c r="D7" t="s">
        <v>115</v>
      </c>
    </row>
    <row r="8" spans="1:6" x14ac:dyDescent="0.3">
      <c r="A8" t="s">
        <v>61</v>
      </c>
      <c r="C8" s="4" t="s">
        <v>55</v>
      </c>
      <c r="D8">
        <v>3</v>
      </c>
    </row>
    <row r="9" spans="1:6" x14ac:dyDescent="0.3">
      <c r="A9" t="s">
        <v>31</v>
      </c>
      <c r="C9" s="4" t="s">
        <v>31</v>
      </c>
      <c r="D9">
        <v>32</v>
      </c>
    </row>
    <row r="10" spans="1:6" x14ac:dyDescent="0.3">
      <c r="A10" t="s">
        <v>31</v>
      </c>
      <c r="C10" s="4" t="s">
        <v>61</v>
      </c>
      <c r="D10">
        <v>5</v>
      </c>
    </row>
    <row r="11" spans="1:6" x14ac:dyDescent="0.3">
      <c r="A11" t="s">
        <v>31</v>
      </c>
      <c r="C11" s="4" t="s">
        <v>83</v>
      </c>
      <c r="D11">
        <v>40</v>
      </c>
    </row>
    <row r="12" spans="1:6" x14ac:dyDescent="0.3">
      <c r="A12" t="s">
        <v>61</v>
      </c>
    </row>
    <row r="13" spans="1:6" x14ac:dyDescent="0.3">
      <c r="A13" t="s">
        <v>31</v>
      </c>
    </row>
    <row r="14" spans="1:6" x14ac:dyDescent="0.3">
      <c r="A14" t="s">
        <v>31</v>
      </c>
    </row>
    <row r="15" spans="1:6" x14ac:dyDescent="0.3">
      <c r="A15" t="s">
        <v>31</v>
      </c>
    </row>
    <row r="16" spans="1:6" x14ac:dyDescent="0.3">
      <c r="A16" t="s">
        <v>31</v>
      </c>
    </row>
    <row r="17" spans="1:1" x14ac:dyDescent="0.3">
      <c r="A17" t="s">
        <v>31</v>
      </c>
    </row>
    <row r="18" spans="1:1" x14ac:dyDescent="0.3">
      <c r="A18" t="s">
        <v>31</v>
      </c>
    </row>
    <row r="19" spans="1:1" x14ac:dyDescent="0.3">
      <c r="A19" t="s">
        <v>31</v>
      </c>
    </row>
    <row r="20" spans="1:1" x14ac:dyDescent="0.3">
      <c r="A20" t="s">
        <v>31</v>
      </c>
    </row>
    <row r="21" spans="1:1" x14ac:dyDescent="0.3">
      <c r="A21" t="s">
        <v>31</v>
      </c>
    </row>
    <row r="22" spans="1:1" x14ac:dyDescent="0.3">
      <c r="A22" t="s">
        <v>31</v>
      </c>
    </row>
    <row r="23" spans="1:1" x14ac:dyDescent="0.3">
      <c r="A23" t="s">
        <v>31</v>
      </c>
    </row>
    <row r="24" spans="1:1" x14ac:dyDescent="0.3">
      <c r="A24" t="s">
        <v>31</v>
      </c>
    </row>
    <row r="25" spans="1:1" x14ac:dyDescent="0.3">
      <c r="A25" t="s">
        <v>31</v>
      </c>
    </row>
    <row r="26" spans="1:1" x14ac:dyDescent="0.3">
      <c r="A26" t="s">
        <v>31</v>
      </c>
    </row>
    <row r="27" spans="1:1" x14ac:dyDescent="0.3">
      <c r="A27" t="s">
        <v>61</v>
      </c>
    </row>
    <row r="28" spans="1:1" x14ac:dyDescent="0.3">
      <c r="A28" t="s">
        <v>31</v>
      </c>
    </row>
    <row r="29" spans="1:1" x14ac:dyDescent="0.3">
      <c r="A29" t="s">
        <v>31</v>
      </c>
    </row>
    <row r="30" spans="1:1" x14ac:dyDescent="0.3">
      <c r="A30" t="s">
        <v>31</v>
      </c>
    </row>
    <row r="31" spans="1:1" x14ac:dyDescent="0.3">
      <c r="A31" t="s">
        <v>31</v>
      </c>
    </row>
    <row r="32" spans="1:1" x14ac:dyDescent="0.3">
      <c r="A32" t="s">
        <v>55</v>
      </c>
    </row>
    <row r="33" spans="1:1" x14ac:dyDescent="0.3">
      <c r="A33" t="s">
        <v>55</v>
      </c>
    </row>
    <row r="34" spans="1:1" x14ac:dyDescent="0.3">
      <c r="A34" t="s">
        <v>31</v>
      </c>
    </row>
    <row r="35" spans="1:1" x14ac:dyDescent="0.3">
      <c r="A35" t="s">
        <v>61</v>
      </c>
    </row>
    <row r="36" spans="1:1" x14ac:dyDescent="0.3">
      <c r="A36" t="s">
        <v>31</v>
      </c>
    </row>
    <row r="37" spans="1:1" x14ac:dyDescent="0.3">
      <c r="A37" t="s">
        <v>31</v>
      </c>
    </row>
    <row r="38" spans="1:1" x14ac:dyDescent="0.3">
      <c r="A38" t="s">
        <v>31</v>
      </c>
    </row>
    <row r="39" spans="1:1" x14ac:dyDescent="0.3">
      <c r="A39" t="s">
        <v>31</v>
      </c>
    </row>
    <row r="40" spans="1:1" x14ac:dyDescent="0.3">
      <c r="A40" t="s">
        <v>61</v>
      </c>
    </row>
    <row r="41" spans="1:1" x14ac:dyDescent="0.3">
      <c r="A41" t="s">
        <v>31</v>
      </c>
    </row>
    <row r="42" spans="1:1" x14ac:dyDescent="0.3">
      <c r="A42" t="s">
        <v>31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E75F-EDDD-4E86-A5A9-54C235B6A63A}">
  <dimension ref="A1:H41"/>
  <sheetViews>
    <sheetView tabSelected="1" workbookViewId="0">
      <selection activeCell="H9" sqref="H9"/>
    </sheetView>
  </sheetViews>
  <sheetFormatPr defaultRowHeight="14.4" x14ac:dyDescent="0.3"/>
  <cols>
    <col min="2" max="2" width="22.21875" customWidth="1"/>
    <col min="3" max="3" width="20.77734375" customWidth="1"/>
    <col min="4" max="4" width="19.33203125" customWidth="1"/>
    <col min="5" max="6" width="22.21875" customWidth="1"/>
    <col min="7" max="7" width="18.109375" customWidth="1"/>
    <col min="8" max="8" width="20.44140625" customWidth="1"/>
  </cols>
  <sheetData>
    <row r="1" spans="1:8" x14ac:dyDescent="0.3">
      <c r="A1" t="s">
        <v>1</v>
      </c>
      <c r="B1" t="s">
        <v>125</v>
      </c>
      <c r="C1" t="s">
        <v>113</v>
      </c>
    </row>
    <row r="2" spans="1:8" ht="15" thickBot="1" x14ac:dyDescent="0.35">
      <c r="A2">
        <v>34</v>
      </c>
      <c r="B2">
        <v>0.25</v>
      </c>
      <c r="C2">
        <v>2</v>
      </c>
    </row>
    <row r="3" spans="1:8" x14ac:dyDescent="0.3">
      <c r="A3">
        <v>23</v>
      </c>
      <c r="B3">
        <v>0.25</v>
      </c>
      <c r="C3">
        <v>6</v>
      </c>
      <c r="E3" s="2"/>
      <c r="F3" s="2" t="s">
        <v>1</v>
      </c>
      <c r="G3" s="2" t="s">
        <v>113</v>
      </c>
      <c r="H3" s="2" t="s">
        <v>126</v>
      </c>
    </row>
    <row r="4" spans="1:8" x14ac:dyDescent="0.3">
      <c r="A4">
        <v>30</v>
      </c>
      <c r="B4">
        <v>0.25</v>
      </c>
      <c r="C4">
        <v>4</v>
      </c>
      <c r="E4" t="s">
        <v>1</v>
      </c>
      <c r="F4">
        <v>1</v>
      </c>
    </row>
    <row r="5" spans="1:8" x14ac:dyDescent="0.3">
      <c r="A5">
        <v>22</v>
      </c>
      <c r="B5">
        <v>0.15</v>
      </c>
      <c r="C5">
        <v>0.5</v>
      </c>
      <c r="E5" t="s">
        <v>113</v>
      </c>
      <c r="F5">
        <v>5.1755716569689851E-2</v>
      </c>
      <c r="G5">
        <v>1</v>
      </c>
    </row>
    <row r="6" spans="1:8" ht="15" thickBot="1" x14ac:dyDescent="0.35">
      <c r="A6">
        <v>24</v>
      </c>
      <c r="B6">
        <v>0.25</v>
      </c>
      <c r="C6">
        <v>0.5</v>
      </c>
      <c r="E6" s="1" t="s">
        <v>16</v>
      </c>
      <c r="F6" s="1">
        <v>-8.9605620240757813E-2</v>
      </c>
      <c r="G6" s="1">
        <v>0.25822264315920573</v>
      </c>
      <c r="H6" s="1">
        <v>1</v>
      </c>
    </row>
    <row r="7" spans="1:8" x14ac:dyDescent="0.3">
      <c r="A7">
        <v>24</v>
      </c>
      <c r="B7">
        <v>0.35</v>
      </c>
      <c r="C7">
        <v>2</v>
      </c>
    </row>
    <row r="8" spans="1:8" x14ac:dyDescent="0.3">
      <c r="A8">
        <v>27</v>
      </c>
      <c r="B8">
        <v>0.25</v>
      </c>
      <c r="C8">
        <v>4</v>
      </c>
    </row>
    <row r="9" spans="1:8" x14ac:dyDescent="0.3">
      <c r="A9">
        <v>21</v>
      </c>
      <c r="B9">
        <v>0.25</v>
      </c>
      <c r="C9">
        <v>4</v>
      </c>
    </row>
    <row r="10" spans="1:8" x14ac:dyDescent="0.3">
      <c r="A10">
        <v>35</v>
      </c>
      <c r="B10">
        <v>0.25</v>
      </c>
      <c r="C10">
        <v>2</v>
      </c>
    </row>
    <row r="11" spans="1:8" x14ac:dyDescent="0.3">
      <c r="A11">
        <v>31</v>
      </c>
      <c r="B11">
        <v>0.35</v>
      </c>
      <c r="C11">
        <v>4</v>
      </c>
    </row>
    <row r="12" spans="1:8" x14ac:dyDescent="0.3">
      <c r="A12">
        <v>35</v>
      </c>
      <c r="B12">
        <v>0.25</v>
      </c>
      <c r="C12">
        <v>4</v>
      </c>
    </row>
    <row r="13" spans="1:8" x14ac:dyDescent="0.3">
      <c r="A13">
        <v>29</v>
      </c>
      <c r="B13">
        <v>0.25</v>
      </c>
      <c r="C13">
        <v>2</v>
      </c>
    </row>
    <row r="14" spans="1:8" x14ac:dyDescent="0.3">
      <c r="A14">
        <v>21</v>
      </c>
      <c r="B14">
        <v>0.25</v>
      </c>
      <c r="C14">
        <v>2</v>
      </c>
    </row>
    <row r="15" spans="1:8" x14ac:dyDescent="0.3">
      <c r="A15">
        <v>28</v>
      </c>
      <c r="B15">
        <v>0.25</v>
      </c>
      <c r="C15">
        <v>2</v>
      </c>
    </row>
    <row r="16" spans="1:8" x14ac:dyDescent="0.3">
      <c r="A16">
        <v>25</v>
      </c>
      <c r="B16">
        <v>0.25</v>
      </c>
      <c r="C16">
        <v>2</v>
      </c>
    </row>
    <row r="17" spans="1:3" x14ac:dyDescent="0.3">
      <c r="A17">
        <v>27</v>
      </c>
      <c r="B17">
        <v>0.25</v>
      </c>
      <c r="C17">
        <v>2</v>
      </c>
    </row>
    <row r="18" spans="1:3" x14ac:dyDescent="0.3">
      <c r="A18">
        <v>28</v>
      </c>
      <c r="B18">
        <v>0.25</v>
      </c>
      <c r="C18">
        <v>2</v>
      </c>
    </row>
    <row r="19" spans="1:3" x14ac:dyDescent="0.3">
      <c r="A19">
        <v>27</v>
      </c>
      <c r="B19">
        <v>0.25</v>
      </c>
      <c r="C19">
        <v>2</v>
      </c>
    </row>
    <row r="20" spans="1:3" x14ac:dyDescent="0.3">
      <c r="A20">
        <v>29</v>
      </c>
      <c r="B20">
        <v>0.25</v>
      </c>
      <c r="C20">
        <v>2</v>
      </c>
    </row>
    <row r="21" spans="1:3" x14ac:dyDescent="0.3">
      <c r="A21">
        <v>26</v>
      </c>
      <c r="B21">
        <v>0.25</v>
      </c>
      <c r="C21">
        <v>4</v>
      </c>
    </row>
    <row r="22" spans="1:3" x14ac:dyDescent="0.3">
      <c r="A22">
        <v>29</v>
      </c>
      <c r="B22">
        <v>0.25</v>
      </c>
      <c r="C22">
        <v>4</v>
      </c>
    </row>
    <row r="23" spans="1:3" x14ac:dyDescent="0.3">
      <c r="A23">
        <v>24</v>
      </c>
      <c r="B23">
        <v>0.25</v>
      </c>
      <c r="C23">
        <v>4</v>
      </c>
    </row>
    <row r="24" spans="1:3" x14ac:dyDescent="0.3">
      <c r="A24">
        <v>27</v>
      </c>
      <c r="B24">
        <v>0.25</v>
      </c>
      <c r="C24">
        <v>4</v>
      </c>
    </row>
    <row r="25" spans="1:3" x14ac:dyDescent="0.3">
      <c r="A25">
        <v>25</v>
      </c>
      <c r="B25">
        <v>0.25</v>
      </c>
      <c r="C25">
        <v>4</v>
      </c>
    </row>
    <row r="26" spans="1:3" x14ac:dyDescent="0.3">
      <c r="A26">
        <v>26</v>
      </c>
      <c r="B26">
        <v>0.35</v>
      </c>
      <c r="C26">
        <v>4</v>
      </c>
    </row>
    <row r="27" spans="1:3" x14ac:dyDescent="0.3">
      <c r="A27">
        <v>32</v>
      </c>
      <c r="B27">
        <v>0.25</v>
      </c>
      <c r="C27">
        <v>4</v>
      </c>
    </row>
    <row r="28" spans="1:3" x14ac:dyDescent="0.3">
      <c r="A28">
        <v>26</v>
      </c>
      <c r="B28">
        <v>0.25</v>
      </c>
      <c r="C28">
        <v>4</v>
      </c>
    </row>
    <row r="29" spans="1:3" x14ac:dyDescent="0.3">
      <c r="A29">
        <v>31</v>
      </c>
      <c r="B29">
        <v>0.25</v>
      </c>
      <c r="C29">
        <v>2</v>
      </c>
    </row>
    <row r="30" spans="1:3" x14ac:dyDescent="0.3">
      <c r="A30">
        <v>29</v>
      </c>
      <c r="B30">
        <v>0.25</v>
      </c>
      <c r="C30">
        <v>2</v>
      </c>
    </row>
    <row r="31" spans="1:3" x14ac:dyDescent="0.3">
      <c r="A31">
        <v>34</v>
      </c>
      <c r="B31">
        <v>0.15</v>
      </c>
      <c r="C31">
        <v>4</v>
      </c>
    </row>
    <row r="32" spans="1:3" x14ac:dyDescent="0.3">
      <c r="A32">
        <v>27</v>
      </c>
      <c r="B32">
        <v>0.15</v>
      </c>
      <c r="C32">
        <v>2</v>
      </c>
    </row>
    <row r="33" spans="1:3" x14ac:dyDescent="0.3">
      <c r="A33">
        <v>31</v>
      </c>
      <c r="B33">
        <v>0.25</v>
      </c>
      <c r="C33">
        <v>4</v>
      </c>
    </row>
    <row r="34" spans="1:3" x14ac:dyDescent="0.3">
      <c r="A34">
        <v>27</v>
      </c>
      <c r="B34">
        <v>0.35</v>
      </c>
      <c r="C34">
        <v>4</v>
      </c>
    </row>
    <row r="35" spans="1:3" x14ac:dyDescent="0.3">
      <c r="A35">
        <v>26</v>
      </c>
      <c r="B35">
        <v>0.25</v>
      </c>
      <c r="C35">
        <v>2</v>
      </c>
    </row>
    <row r="36" spans="1:3" x14ac:dyDescent="0.3">
      <c r="A36">
        <v>27</v>
      </c>
      <c r="B36">
        <v>0.25</v>
      </c>
      <c r="C36">
        <v>2</v>
      </c>
    </row>
    <row r="37" spans="1:3" x14ac:dyDescent="0.3">
      <c r="A37">
        <v>30</v>
      </c>
      <c r="B37">
        <v>0.25</v>
      </c>
      <c r="C37">
        <v>4</v>
      </c>
    </row>
    <row r="38" spans="1:3" x14ac:dyDescent="0.3">
      <c r="A38">
        <v>30</v>
      </c>
      <c r="B38">
        <v>0.25</v>
      </c>
      <c r="C38">
        <v>2</v>
      </c>
    </row>
    <row r="39" spans="1:3" x14ac:dyDescent="0.3">
      <c r="A39">
        <v>25</v>
      </c>
      <c r="B39">
        <v>0.35</v>
      </c>
      <c r="C39">
        <v>4</v>
      </c>
    </row>
    <row r="40" spans="1:3" x14ac:dyDescent="0.3">
      <c r="A40">
        <v>31</v>
      </c>
      <c r="B40">
        <v>0.25</v>
      </c>
      <c r="C40">
        <v>2</v>
      </c>
    </row>
    <row r="41" spans="1:3" x14ac:dyDescent="0.3">
      <c r="A41">
        <v>29</v>
      </c>
      <c r="B41">
        <v>0.25</v>
      </c>
      <c r="C41">
        <v>4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66EBB6-7810-4852-BC74-E5BA11567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Data_set 2 - Copy</vt:lpstr>
      <vt:lpstr>Task2</vt:lpstr>
      <vt:lpstr>Task3</vt:lpstr>
      <vt:lpstr>Task4</vt:lpstr>
      <vt:lpstr>Task5(1)</vt:lpstr>
      <vt:lpstr>Task5(2)</vt:lpstr>
      <vt:lpstr>Task6</vt:lpstr>
      <vt:lpstr>Task7</vt:lpstr>
      <vt:lpstr>Task8</vt:lpstr>
      <vt:lpstr>Task9</vt:lpstr>
      <vt:lpstr>Task10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 MBR</dc:creator>
  <cp:lastModifiedBy>Vigneshwaran B</cp:lastModifiedBy>
  <dcterms:created xsi:type="dcterms:W3CDTF">2025-08-31T11:16:42Z</dcterms:created>
  <dcterms:modified xsi:type="dcterms:W3CDTF">2025-09-08T11:34:25Z</dcterms:modified>
</cp:coreProperties>
</file>